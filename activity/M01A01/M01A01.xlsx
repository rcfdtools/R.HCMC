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1\"/>
    </mc:Choice>
  </mc:AlternateContent>
  <xr:revisionPtr revIDLastSave="0" documentId="13_ncr:1_{96A67081-209D-4437-8003-ED09887AECCB}" xr6:coauthVersionLast="47" xr6:coauthVersionMax="47" xr10:uidLastSave="{00000000-0000-0000-0000-000000000000}"/>
  <bookViews>
    <workbookView xWindow="-98" yWindow="-98" windowWidth="28996" windowHeight="15675" tabRatio="773" xr2:uid="{CB4A84EB-58A9-4828-A1EC-5E14AACD60D5}"/>
  </bookViews>
  <sheets>
    <sheet name="Calificacion" sheetId="11" r:id="rId1"/>
    <sheet name="TecnicoRequerido" sheetId="5" r:id="rId2"/>
    <sheet name="Normativo" sheetId="8" r:id="rId3"/>
    <sheet name="GeotecnicoAmbientalSocial" sheetId="7" r:id="rId4"/>
    <sheet name="Territorial" sheetId="9" r:id="rId5"/>
  </sheets>
  <definedNames>
    <definedName name="_xlnm.Print_Area" localSheetId="0">Calificacion!$B$2:$P$12</definedName>
    <definedName name="_xlnm.Print_Area" localSheetId="3">GeotecnicoAmbientalSocial!$B$2:$C$17</definedName>
    <definedName name="_xlnm.Print_Area" localSheetId="2">Normativo!$B$2:$C$13</definedName>
    <definedName name="_xlnm.Print_Area" localSheetId="1">TecnicoRequerido!$B$2:$G$21</definedName>
    <definedName name="_xlnm.Print_Area" localSheetId="4">Territorial!$B$2:$C$17</definedName>
    <definedName name="_xlnm.Print_Titles" localSheetId="0">Calificacion!$2:$4</definedName>
    <definedName name="_xlnm.Print_Titles" localSheetId="3">GeotecnicoAmbientalSocial!$2:$3</definedName>
    <definedName name="_xlnm.Print_Titles" localSheetId="2">Normativo!$2:$3</definedName>
    <definedName name="_xlnm.Print_Titles" localSheetId="1">TecnicoRequerido!$2:$3</definedName>
    <definedName name="_xlnm.Print_Titles" localSheetId="4">Territorial!$2:$3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1" l="1"/>
  <c r="O6" i="11"/>
  <c r="O5" i="11"/>
  <c r="J8" i="11"/>
  <c r="H8" i="11"/>
  <c r="AB2" i="9"/>
  <c r="AD12" i="9"/>
  <c r="P8" i="11" s="1"/>
  <c r="AB12" i="9"/>
  <c r="O8" i="11" s="1"/>
  <c r="O9" i="11" s="1"/>
  <c r="Z12" i="9"/>
  <c r="N8" i="11" s="1"/>
  <c r="X12" i="9"/>
  <c r="M8" i="11" s="1"/>
  <c r="V12" i="9"/>
  <c r="L8" i="11" s="1"/>
  <c r="T12" i="9"/>
  <c r="K8" i="11" s="1"/>
  <c r="R12" i="9"/>
  <c r="P12" i="9"/>
  <c r="I8" i="11" s="1"/>
  <c r="N12" i="9"/>
  <c r="L12" i="9"/>
  <c r="G8" i="11" s="1"/>
  <c r="J12" i="9"/>
  <c r="F8" i="11" s="1"/>
  <c r="H12" i="9"/>
  <c r="E8" i="11" s="1"/>
  <c r="F12" i="9"/>
  <c r="D8" i="11" s="1"/>
  <c r="D12" i="9"/>
  <c r="C8" i="11" s="1"/>
  <c r="J7" i="11"/>
  <c r="F7" i="11"/>
  <c r="E7" i="11"/>
  <c r="AB2" i="7"/>
  <c r="Z2" i="7"/>
  <c r="Z12" i="7"/>
  <c r="N7" i="11" s="1"/>
  <c r="AD12" i="7"/>
  <c r="P7" i="11" s="1"/>
  <c r="AB12" i="7"/>
  <c r="X12" i="7"/>
  <c r="M7" i="11" s="1"/>
  <c r="V12" i="7"/>
  <c r="L7" i="11" s="1"/>
  <c r="T12" i="7"/>
  <c r="K7" i="11" s="1"/>
  <c r="R12" i="7"/>
  <c r="P12" i="7"/>
  <c r="I7" i="11" s="1"/>
  <c r="N12" i="7"/>
  <c r="H7" i="11" s="1"/>
  <c r="L12" i="7"/>
  <c r="G7" i="11" s="1"/>
  <c r="J12" i="7"/>
  <c r="H12" i="7"/>
  <c r="F12" i="7"/>
  <c r="D7" i="11" s="1"/>
  <c r="D12" i="7"/>
  <c r="C7" i="11" s="1"/>
  <c r="AR2" i="5"/>
  <c r="AR20" i="5"/>
  <c r="AD2" i="8"/>
  <c r="AB2" i="8"/>
  <c r="AD9" i="8"/>
  <c r="P6" i="11" s="1"/>
  <c r="AB9" i="8"/>
  <c r="Z9" i="8"/>
  <c r="N6" i="11" s="1"/>
  <c r="X9" i="8"/>
  <c r="M6" i="11" s="1"/>
  <c r="V9" i="8"/>
  <c r="L6" i="11" s="1"/>
  <c r="T9" i="8"/>
  <c r="K6" i="11" s="1"/>
  <c r="R9" i="8"/>
  <c r="J6" i="11" s="1"/>
  <c r="P9" i="8"/>
  <c r="I6" i="11" s="1"/>
  <c r="N9" i="8"/>
  <c r="H6" i="11" s="1"/>
  <c r="L9" i="8"/>
  <c r="G6" i="11" s="1"/>
  <c r="J9" i="8"/>
  <c r="F6" i="11" s="1"/>
  <c r="H9" i="8"/>
  <c r="E6" i="11" s="1"/>
  <c r="F9" i="8"/>
  <c r="D6" i="11" s="1"/>
  <c r="D9" i="8"/>
  <c r="C6" i="11" s="1"/>
  <c r="AU20" i="5"/>
  <c r="P5" i="11" s="1"/>
  <c r="AO20" i="5"/>
  <c r="N5" i="11" s="1"/>
  <c r="AL20" i="5"/>
  <c r="M5" i="11" s="1"/>
  <c r="AI20" i="5"/>
  <c r="L5" i="11" s="1"/>
  <c r="AF20" i="5"/>
  <c r="K5" i="11" s="1"/>
  <c r="AC20" i="5"/>
  <c r="J5" i="11" s="1"/>
  <c r="Z20" i="5"/>
  <c r="I5" i="11" s="1"/>
  <c r="W20" i="5"/>
  <c r="H5" i="11" s="1"/>
  <c r="T20" i="5"/>
  <c r="G5" i="11" s="1"/>
  <c r="Q20" i="5"/>
  <c r="F5" i="11" s="1"/>
  <c r="N20" i="5"/>
  <c r="E5" i="11" s="1"/>
  <c r="K20" i="5"/>
  <c r="D5" i="11" s="1"/>
  <c r="H20" i="5"/>
  <c r="C5" i="11" s="1"/>
  <c r="O11" i="11" l="1"/>
  <c r="AD2" i="9"/>
  <c r="Z2" i="9"/>
  <c r="X2" i="9"/>
  <c r="V2" i="9"/>
  <c r="T2" i="9"/>
  <c r="R2" i="9"/>
  <c r="P2" i="9"/>
  <c r="N2" i="9"/>
  <c r="L2" i="9"/>
  <c r="J2" i="9"/>
  <c r="H2" i="9"/>
  <c r="F2" i="9"/>
  <c r="D2" i="9"/>
  <c r="X2" i="7"/>
  <c r="V2" i="7"/>
  <c r="T2" i="7"/>
  <c r="R2" i="7"/>
  <c r="P2" i="7"/>
  <c r="N2" i="7"/>
  <c r="L2" i="7"/>
  <c r="J2" i="7"/>
  <c r="H2" i="7"/>
  <c r="F2" i="7"/>
  <c r="D2" i="7"/>
  <c r="AF2" i="5"/>
  <c r="AI2" i="5"/>
  <c r="AL2" i="5"/>
  <c r="AO2" i="5"/>
  <c r="AU2" i="5"/>
  <c r="AC2" i="5"/>
  <c r="Z2" i="8"/>
  <c r="X2" i="8"/>
  <c r="V2" i="8"/>
  <c r="T2" i="8"/>
  <c r="R2" i="8"/>
  <c r="P2" i="8"/>
  <c r="N2" i="8"/>
  <c r="L2" i="8"/>
  <c r="J2" i="8"/>
  <c r="H2" i="8"/>
  <c r="F2" i="8"/>
  <c r="D2" i="8"/>
  <c r="Z2" i="5"/>
  <c r="W2" i="5"/>
  <c r="T2" i="5"/>
  <c r="Q2" i="5"/>
  <c r="N2" i="5"/>
  <c r="K2" i="5"/>
  <c r="H2" i="5"/>
  <c r="M9" i="11" l="1"/>
  <c r="M11" i="11" s="1"/>
  <c r="J9" i="11"/>
  <c r="J11" i="11" s="1"/>
  <c r="L9" i="11"/>
  <c r="L11" i="11" s="1"/>
  <c r="N9" i="11"/>
  <c r="N11" i="11" s="1"/>
  <c r="P9" i="11"/>
  <c r="P11" i="11" s="1"/>
  <c r="E9" i="11"/>
  <c r="E11" i="11" s="1"/>
  <c r="K9" i="11"/>
  <c r="K11" i="11" s="1"/>
  <c r="I9" i="11"/>
  <c r="I11" i="11" s="1"/>
  <c r="G9" i="11"/>
  <c r="G11" i="11" s="1"/>
  <c r="F9" i="11"/>
  <c r="F11" i="11" s="1"/>
  <c r="D9" i="11" l="1"/>
  <c r="D11" i="11" s="1"/>
  <c r="H9" i="11"/>
  <c r="H11" i="11" s="1"/>
  <c r="C9" i="11"/>
  <c r="C1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D3" authorId="0" shapeId="0" xr:uid="{068A0622-E5FE-40BC-AF7A-AB8125D835DC}">
      <text>
        <r>
          <rPr>
            <sz val="9"/>
            <color indexed="81"/>
            <rFont val="Tahoma"/>
            <family val="2"/>
          </rPr>
          <t>Valor de referencia en ejercicio de clase.</t>
        </r>
      </text>
    </comment>
    <comment ref="C6" authorId="0" shapeId="0" xr:uid="{FC0BF997-C11E-4EA6-9EA7-2D7F21506A74}">
      <text>
        <r>
          <rPr>
            <sz val="9"/>
            <color indexed="81"/>
            <rFont val="Tahoma"/>
            <family val="2"/>
          </rPr>
          <t>Para Tr con valores altos mayores a 25 años, Se se se recomienda revisar el periodo de retorno debido a que las estructuras podrán quedar sobredimensionadas</t>
        </r>
      </text>
    </comment>
    <comment ref="C7" authorId="0" shapeId="0" xr:uid="{849C21B8-B45D-441D-A1AF-1CAF44E97F7E}">
      <text>
        <r>
          <rPr>
            <sz val="9"/>
            <color indexed="81"/>
            <rFont val="Tahoma"/>
            <family val="2"/>
          </rPr>
          <t>Para Tr con valores altos mayores a 25 años, Se se se recomienda revisar el periodo de retorno debido a que las estructuras podrán quedar sobredimensionadas</t>
        </r>
      </text>
    </comment>
    <comment ref="C8" authorId="0" shapeId="0" xr:uid="{E0B5362A-70C5-4311-9CD6-61EBDE7257F8}">
      <text>
        <r>
          <rPr>
            <sz val="9"/>
            <color indexed="81"/>
            <rFont val="Tahoma"/>
            <family val="2"/>
          </rPr>
          <t>Cuando se indica que el Tr del área de amortiguamiento es igual o un poco mayor al Tr de creciente del canal, se debe aumentar debido a que esta zona no permitirá amortiguar los excesos.</t>
        </r>
      </text>
    </comment>
    <comment ref="C9" authorId="0" shapeId="0" xr:uid="{91B718EB-95BA-4CC4-802C-8287E17A4496}">
      <text>
        <r>
          <rPr>
            <sz val="9"/>
            <color indexed="81"/>
            <rFont val="Tahoma"/>
            <family val="2"/>
          </rPr>
          <t>Para velocidades muy bajas, se recomienda ajustar el valor presentado con el posterior estudio de la granulometría, periodo de retorno asociado y pendiente longitudinal. Para cumplir con el valor propuesto se necesitara un factor de sinusidad cercano o superior a 1.5 con lo cual el cauce será meandriforme y un valle muy ancho</t>
        </r>
      </text>
    </comment>
    <comment ref="C10" authorId="0" shapeId="0" xr:uid="{DA17EE65-EEF5-43FC-A5D2-AE4C86A99C1F}">
      <text>
        <r>
          <rPr>
            <sz val="9"/>
            <color indexed="81"/>
            <rFont val="Tahoma"/>
            <family val="2"/>
          </rPr>
          <t>Para velocidades muy bajas, se recomienda ajustar el valor presentado con el posterior estudio de la granulometría, periodo de retorno asociado y pendiente longitudinal. Para cumplir con el valor propuesto se necesitara un factor de sinusidad cercano o superior a 1.5 con lo cual el cauce será meandriforme y un valle muy ancho</t>
        </r>
      </text>
    </comment>
    <comment ref="C15" authorId="0" shapeId="0" xr:uid="{34861BC7-5CB9-402B-9889-B68722FCB9B9}">
      <text>
        <r>
          <rPr>
            <sz val="9"/>
            <color indexed="81"/>
            <rFont val="Tahoma"/>
            <family val="2"/>
          </rPr>
          <t>Principalmente obedece a la longitud de realce de diques y al diseño del paso de vía usando estructuras de expansión y contracción en operaciones mineras.</t>
        </r>
      </text>
    </comment>
    <comment ref="C17" authorId="0" shapeId="0" xr:uid="{C128E5E4-B980-4C44-8A98-8BBA595EA070}">
      <text>
        <r>
          <rPr>
            <sz val="9"/>
            <color indexed="81"/>
            <rFont val="Tahoma"/>
            <family val="2"/>
          </rPr>
          <t xml:space="preserve">Tener en cuenta que la luz en  pasos de vía en zonas de operación minera no pueden ser diseñados con puentes metálicos o en pórtico debido a los altos valores de cargas móviles. Generalmente se diseñan con alcantarillas de paso cuyo diámetro tiene una restricción por el tamaño de las láminas de refuerzo y soporte.
</t>
        </r>
      </text>
    </comment>
  </commentList>
</comments>
</file>

<file path=xl/sharedStrings.xml><?xml version="1.0" encoding="utf-8"?>
<sst xmlns="http://schemas.openxmlformats.org/spreadsheetml/2006/main" count="238" uniqueCount="87">
  <si>
    <t>Unidad</t>
  </si>
  <si>
    <t>Variable</t>
  </si>
  <si>
    <t>Hidrológico</t>
  </si>
  <si>
    <t>años</t>
  </si>
  <si>
    <t>Tr</t>
  </si>
  <si>
    <t>m/s</t>
  </si>
  <si>
    <t>Vmax</t>
  </si>
  <si>
    <t>m</t>
  </si>
  <si>
    <t>Vmin</t>
  </si>
  <si>
    <t>N/m²</t>
  </si>
  <si>
    <t>τ max</t>
  </si>
  <si>
    <t>Tipo</t>
  </si>
  <si>
    <t>Parámetro</t>
  </si>
  <si>
    <t>Velocidad máxima canal dominante</t>
  </si>
  <si>
    <t>Velocidad máxima canal creciente</t>
  </si>
  <si>
    <t>Velocidad mínima canal dominante</t>
  </si>
  <si>
    <t>Velocidad mínima canal creciente</t>
  </si>
  <si>
    <t>Cortante máximo canal dominante</t>
  </si>
  <si>
    <t>Cortante máximo canal creciente</t>
  </si>
  <si>
    <t>Remanso máximo en pasos de vía</t>
  </si>
  <si>
    <t>RAS</t>
  </si>
  <si>
    <t>Autoridad ambiental, MADS - ANLA</t>
  </si>
  <si>
    <t xml:space="preserve">Corporación Autónoma Regional, CAR. </t>
  </si>
  <si>
    <t>Municipales y/o distritales</t>
  </si>
  <si>
    <t>PDA, Plan departamental de agua</t>
  </si>
  <si>
    <t>POMCA, Planes de Ordenación y Manejo de Cuencas</t>
  </si>
  <si>
    <t>Distritos de riego y reservorios.</t>
  </si>
  <si>
    <t>Alteración en límite de cuencas hidrográficas</t>
  </si>
  <si>
    <t>Alteración de Límites territoriales</t>
  </si>
  <si>
    <t>Restricciones prediales, baldíos y centros poblados</t>
  </si>
  <si>
    <t>Sistema de gestión del riesgo</t>
  </si>
  <si>
    <t>Zonas protegidas en POT y rondas hídricas</t>
  </si>
  <si>
    <t>Zonas productivas agropecuarias</t>
  </si>
  <si>
    <t>Periodo retorno - Canal dominante</t>
  </si>
  <si>
    <t>Periodo retorno - Valle o creciente</t>
  </si>
  <si>
    <t>Periodo retorno - Estructuras hidráulicas</t>
  </si>
  <si>
    <t>Periodo retorno - Cauces laterales</t>
  </si>
  <si>
    <t>Periodo retorno - Áreas de almacenamiento o amortiguación</t>
  </si>
  <si>
    <t>Estructuras ecológicas</t>
  </si>
  <si>
    <t>Concesiones y vertimientos</t>
  </si>
  <si>
    <t>Galibo vertical Mínimo en pasos de vía</t>
  </si>
  <si>
    <t>Galibo horizontal Mínimo en pasos de vía</t>
  </si>
  <si>
    <t>Hidráulicos. Restricciones de diseño</t>
  </si>
  <si>
    <t>Geotécnicos</t>
  </si>
  <si>
    <t>Calif.</t>
  </si>
  <si>
    <t>Eval</t>
  </si>
  <si>
    <t>Infraestructura y territorio</t>
  </si>
  <si>
    <t>Valor ref.</t>
  </si>
  <si>
    <t>Técnicos requeridos</t>
  </si>
  <si>
    <t>Normativos</t>
  </si>
  <si>
    <t>Geotécnico, ambiental y social</t>
  </si>
  <si>
    <t>Territorial</t>
  </si>
  <si>
    <t>Grupo de parámetros</t>
  </si>
  <si>
    <t>Observaciones</t>
  </si>
  <si>
    <t>Valor</t>
  </si>
  <si>
    <t>Grupo 1</t>
  </si>
  <si>
    <t>Grupo 2</t>
  </si>
  <si>
    <t>Grupo 3</t>
  </si>
  <si>
    <t>Grupo 4</t>
  </si>
  <si>
    <t>Grupo 5</t>
  </si>
  <si>
    <t>Parámetros territoriales*</t>
  </si>
  <si>
    <t>Parámetros geotécnicos, ambientales y sociales*</t>
  </si>
  <si>
    <t>Parámetros normativos*</t>
  </si>
  <si>
    <t>Parámetros técnicos requeridos*</t>
  </si>
  <si>
    <t>*Investigar y justificar técnicamente el valor adoptado.</t>
  </si>
  <si>
    <t>Preservación de ecosistemas</t>
  </si>
  <si>
    <t>Calificar sobre</t>
  </si>
  <si>
    <t>Autocalificación alumno</t>
  </si>
  <si>
    <t>Calificación final avance</t>
  </si>
  <si>
    <t>Calificación instructor</t>
  </si>
  <si>
    <t>Base valle horizontal o inclinada</t>
  </si>
  <si>
    <t>Horizontal</t>
  </si>
  <si>
    <t>1.1. Parámetros generales requeridos para el diseño y la modelación</t>
  </si>
  <si>
    <t>M01A01</t>
  </si>
  <si>
    <t>https://github.com/rcfdtools/R.HCMC/blob/main/activity/M01A01/Readme.md</t>
  </si>
  <si>
    <t>Calificación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</si>
  <si>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</si>
  <si>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</si>
  <si>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</si>
  <si>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</si>
  <si>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</si>
  <si>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</si>
  <si>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</si>
  <si>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</si>
  <si>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</si>
  <si>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=Calificacion!P$4</t>
  </si>
  <si>
    <t>*Verificar los parámetros suministrados en el libro de esta actividad e indicar en la ficha de control documental FCD los enlaces consultados y si realizó o no la verificación de estos parámetros.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</si>
</sst>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1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4"/>
      <color theme="1"/>
      <name val="Segoe UI Light"/>
      <family val="2"/>
    </font>
    <font>
      <sz val="9"/>
      <color indexed="81"/>
      <name val="Tahoma"/>
      <family val="2"/>
    </font>
    <font>
      <sz val="10"/>
      <color theme="1"/>
      <name val="Segoe UI Light"/>
      <family val="2"/>
    </font>
    <font>
      <u/>
      <sz val="10"/>
      <color theme="10"/>
      <name val="Segoe UI Light"/>
      <family val="2"/>
    </font>
    <font>
      <sz val="10"/>
      <name val="Segoe UI Light"/>
      <family val="2"/>
    </font>
    <font>
      <sz val="8"/>
      <color theme="10"/>
      <name val="Segoe UI Light"/>
      <family val="2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5" fillId="0" borderId="0"/>
    <xf numFmtId="43" fontId="7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4" applyFont="1" applyAlignment="1">
      <alignment vertical="top"/>
    </xf>
    <xf numFmtId="0" fontId="1" fillId="0" borderId="0" xfId="3" applyFont="1" applyAlignment="1">
      <alignment vertical="top"/>
    </xf>
    <xf numFmtId="0" fontId="1" fillId="0" borderId="1" xfId="3" applyFont="1" applyBorder="1" applyAlignment="1">
      <alignment horizontal="left" vertical="top" wrapText="1"/>
    </xf>
    <xf numFmtId="0" fontId="2" fillId="0" borderId="1" xfId="3" applyFont="1" applyBorder="1" applyAlignment="1" applyProtection="1">
      <alignment horizontal="center" vertical="top" wrapText="1"/>
      <protection locked="0"/>
    </xf>
    <xf numFmtId="0" fontId="3" fillId="0" borderId="1" xfId="3" applyFont="1" applyBorder="1" applyAlignment="1">
      <alignment horizontal="center" vertical="top" wrapText="1"/>
    </xf>
    <xf numFmtId="0" fontId="1" fillId="0" borderId="8" xfId="3" applyFont="1" applyBorder="1" applyAlignment="1">
      <alignment horizontal="left" vertical="top" wrapText="1"/>
    </xf>
    <xf numFmtId="0" fontId="2" fillId="0" borderId="8" xfId="3" applyFont="1" applyBorder="1" applyAlignment="1" applyProtection="1">
      <alignment horizontal="center" vertical="top" wrapText="1"/>
      <protection locked="0"/>
    </xf>
    <xf numFmtId="0" fontId="3" fillId="0" borderId="8" xfId="3" applyFont="1" applyBorder="1" applyAlignment="1">
      <alignment horizontal="center" vertical="top" wrapText="1"/>
    </xf>
    <xf numFmtId="0" fontId="1" fillId="2" borderId="2" xfId="3" applyFont="1" applyFill="1" applyBorder="1" applyAlignment="1">
      <alignment vertical="top"/>
    </xf>
    <xf numFmtId="0" fontId="1" fillId="2" borderId="3" xfId="3" applyFont="1" applyFill="1" applyBorder="1" applyAlignment="1">
      <alignment vertical="top"/>
    </xf>
    <xf numFmtId="0" fontId="10" fillId="0" borderId="0" xfId="4" applyFont="1" applyAlignment="1">
      <alignment vertical="top"/>
    </xf>
    <xf numFmtId="0" fontId="10" fillId="2" borderId="2" xfId="3" applyFont="1" applyFill="1" applyBorder="1" applyAlignment="1">
      <alignment vertical="top"/>
    </xf>
    <xf numFmtId="0" fontId="10" fillId="0" borderId="0" xfId="3" applyFont="1" applyAlignment="1">
      <alignment vertical="top"/>
    </xf>
    <xf numFmtId="0" fontId="10" fillId="0" borderId="5" xfId="4" applyFont="1" applyBorder="1" applyAlignment="1">
      <alignment horizontal="left" vertical="top" wrapText="1"/>
    </xf>
    <xf numFmtId="2" fontId="10" fillId="0" borderId="1" xfId="3" applyNumberFormat="1" applyFont="1" applyBorder="1" applyAlignment="1">
      <alignment horizontal="center" vertical="top" wrapText="1"/>
    </xf>
    <xf numFmtId="0" fontId="10" fillId="2" borderId="7" xfId="4" applyFont="1" applyFill="1" applyBorder="1" applyAlignment="1">
      <alignment horizontal="right" vertical="top" wrapText="1"/>
    </xf>
    <xf numFmtId="2" fontId="10" fillId="2" borderId="8" xfId="3" applyNumberFormat="1" applyFont="1" applyFill="1" applyBorder="1" applyAlignment="1">
      <alignment horizontal="center" vertical="top" wrapText="1"/>
    </xf>
    <xf numFmtId="2" fontId="10" fillId="2" borderId="9" xfId="3" applyNumberFormat="1" applyFont="1" applyFill="1" applyBorder="1" applyAlignment="1">
      <alignment horizontal="center" vertical="top" wrapText="1"/>
    </xf>
    <xf numFmtId="0" fontId="10" fillId="2" borderId="5" xfId="3" applyFont="1" applyFill="1" applyBorder="1" applyAlignment="1">
      <alignment horizontal="center" vertical="top"/>
    </xf>
    <xf numFmtId="0" fontId="10" fillId="2" borderId="6" xfId="3" applyFont="1" applyFill="1" applyBorder="1" applyAlignment="1">
      <alignment horizontal="left" vertical="top" wrapText="1"/>
    </xf>
    <xf numFmtId="0" fontId="10" fillId="2" borderId="5" xfId="4" applyFont="1" applyFill="1" applyBorder="1" applyAlignment="1">
      <alignment horizontal="left" vertical="top" wrapText="1"/>
    </xf>
    <xf numFmtId="0" fontId="10" fillId="2" borderId="7" xfId="4" applyFont="1" applyFill="1" applyBorder="1" applyAlignment="1">
      <alignment horizontal="left" vertical="top" wrapText="1"/>
    </xf>
    <xf numFmtId="0" fontId="10" fillId="2" borderId="2" xfId="3" applyFont="1" applyFill="1" applyBorder="1" applyAlignment="1">
      <alignment horizontal="left" vertical="top"/>
    </xf>
    <xf numFmtId="0" fontId="10" fillId="2" borderId="5" xfId="3" applyFont="1" applyFill="1" applyBorder="1" applyAlignment="1">
      <alignment horizontal="center" vertical="top" wrapText="1"/>
    </xf>
    <xf numFmtId="0" fontId="11" fillId="0" borderId="0" xfId="2" applyFont="1" applyFill="1" applyAlignment="1">
      <alignment vertical="top"/>
    </xf>
    <xf numFmtId="0" fontId="10" fillId="0" borderId="0" xfId="1" applyFont="1" applyAlignment="1">
      <alignment horizontal="right" vertical="top"/>
    </xf>
    <xf numFmtId="2" fontId="10" fillId="0" borderId="0" xfId="3" applyNumberFormat="1" applyFont="1" applyAlignment="1">
      <alignment horizontal="center" vertical="top"/>
    </xf>
    <xf numFmtId="2" fontId="1" fillId="0" borderId="0" xfId="3" applyNumberFormat="1" applyFont="1" applyAlignment="1">
      <alignment horizontal="center" vertical="top"/>
    </xf>
    <xf numFmtId="0" fontId="11" fillId="0" borderId="0" xfId="2" applyFont="1" applyFill="1" applyAlignment="1">
      <alignment horizontal="left" vertical="top"/>
    </xf>
    <xf numFmtId="0" fontId="10" fillId="0" borderId="0" xfId="4" applyFont="1" applyAlignment="1">
      <alignment horizontal="left" vertical="top"/>
    </xf>
    <xf numFmtId="2" fontId="10" fillId="0" borderId="0" xfId="3" applyNumberFormat="1" applyFont="1" applyAlignment="1">
      <alignment horizontal="center" vertical="top" wrapText="1"/>
    </xf>
    <xf numFmtId="0" fontId="10" fillId="0" borderId="0" xfId="3" applyFont="1" applyAlignment="1">
      <alignment vertical="top" wrapText="1"/>
    </xf>
    <xf numFmtId="2" fontId="10" fillId="0" borderId="6" xfId="3" applyNumberFormat="1" applyFont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textRotation="90"/>
    </xf>
    <xf numFmtId="2" fontId="12" fillId="0" borderId="0" xfId="3" applyNumberFormat="1" applyFont="1" applyAlignment="1">
      <alignment horizontal="center" vertical="top"/>
    </xf>
    <xf numFmtId="2" fontId="3" fillId="0" borderId="0" xfId="3" applyNumberFormat="1" applyFont="1" applyAlignment="1">
      <alignment horizontal="center" vertical="top"/>
    </xf>
    <xf numFmtId="0" fontId="3" fillId="0" borderId="0" xfId="4" applyFont="1" applyAlignment="1">
      <alignment vertical="top"/>
    </xf>
    <xf numFmtId="0" fontId="3" fillId="0" borderId="0" xfId="3" applyFont="1" applyAlignment="1">
      <alignment vertical="top"/>
    </xf>
    <xf numFmtId="0" fontId="10" fillId="2" borderId="4" xfId="0" applyFont="1" applyFill="1" applyBorder="1" applyAlignment="1">
      <alignment horizontal="center" vertical="top" textRotation="90"/>
    </xf>
    <xf numFmtId="0" fontId="1" fillId="2" borderId="14" xfId="4" applyFont="1" applyFill="1" applyBorder="1" applyAlignment="1">
      <alignment horizontal="center" vertical="top" wrapText="1"/>
    </xf>
    <xf numFmtId="0" fontId="1" fillId="2" borderId="15" xfId="3" applyFont="1" applyFill="1" applyBorder="1" applyAlignment="1">
      <alignment horizontal="center" vertical="top" wrapText="1"/>
    </xf>
    <xf numFmtId="0" fontId="1" fillId="2" borderId="14" xfId="3" applyFont="1" applyFill="1" applyBorder="1" applyAlignment="1">
      <alignment horizontal="center" vertical="top"/>
    </xf>
    <xf numFmtId="0" fontId="3" fillId="2" borderId="16" xfId="3" applyFont="1" applyFill="1" applyBorder="1" applyAlignment="1">
      <alignment horizontal="center" vertical="top"/>
    </xf>
    <xf numFmtId="0" fontId="1" fillId="2" borderId="17" xfId="3" applyFont="1" applyFill="1" applyBorder="1" applyAlignment="1">
      <alignment horizontal="left" vertical="top"/>
    </xf>
    <xf numFmtId="0" fontId="1" fillId="0" borderId="19" xfId="3" applyFont="1" applyBorder="1" applyAlignment="1">
      <alignment horizontal="left" vertical="top" wrapText="1"/>
    </xf>
    <xf numFmtId="0" fontId="2" fillId="0" borderId="19" xfId="3" applyFont="1" applyBorder="1" applyAlignment="1" applyProtection="1">
      <alignment horizontal="center" vertical="top" wrapText="1"/>
      <protection locked="0"/>
    </xf>
    <xf numFmtId="0" fontId="3" fillId="0" borderId="19" xfId="3" applyFont="1" applyBorder="1" applyAlignment="1">
      <alignment horizontal="center" vertical="top" wrapText="1"/>
    </xf>
    <xf numFmtId="0" fontId="1" fillId="0" borderId="3" xfId="3" applyFont="1" applyBorder="1" applyAlignment="1">
      <alignment horizontal="left" vertical="top" wrapText="1"/>
    </xf>
    <xf numFmtId="0" fontId="2" fillId="0" borderId="3" xfId="3" applyFont="1" applyBorder="1" applyAlignment="1" applyProtection="1">
      <alignment horizontal="center" vertical="top" wrapText="1"/>
      <protection locked="0"/>
    </xf>
    <xf numFmtId="0" fontId="3" fillId="0" borderId="3" xfId="3" applyFont="1" applyBorder="1" applyAlignment="1">
      <alignment horizontal="center" vertical="top" wrapText="1"/>
    </xf>
    <xf numFmtId="0" fontId="1" fillId="2" borderId="15" xfId="3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2" borderId="4" xfId="3" applyFont="1" applyFill="1" applyBorder="1" applyAlignment="1">
      <alignment vertical="top"/>
    </xf>
    <xf numFmtId="0" fontId="1" fillId="2" borderId="17" xfId="3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0" fillId="2" borderId="4" xfId="3" applyFont="1" applyFill="1" applyBorder="1" applyAlignment="1">
      <alignment vertical="top"/>
    </xf>
    <xf numFmtId="0" fontId="10" fillId="2" borderId="6" xfId="3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2" fontId="10" fillId="2" borderId="1" xfId="3" applyNumberFormat="1" applyFont="1" applyFill="1" applyBorder="1" applyAlignment="1">
      <alignment horizontal="center" vertical="top" wrapText="1"/>
    </xf>
    <xf numFmtId="0" fontId="10" fillId="2" borderId="5" xfId="4" applyFont="1" applyFill="1" applyBorder="1" applyAlignment="1">
      <alignment horizontal="right" vertical="top" wrapText="1"/>
    </xf>
    <xf numFmtId="2" fontId="10" fillId="2" borderId="6" xfId="3" applyNumberFormat="1" applyFont="1" applyFill="1" applyBorder="1" applyAlignment="1">
      <alignment horizontal="center" vertical="top" wrapText="1"/>
    </xf>
    <xf numFmtId="0" fontId="1" fillId="0" borderId="15" xfId="3" applyFont="1" applyBorder="1" applyAlignment="1">
      <alignment horizontal="left" vertical="top" wrapText="1"/>
    </xf>
    <xf numFmtId="0" fontId="2" fillId="0" borderId="15" xfId="3" applyFont="1" applyBorder="1" applyAlignment="1" applyProtection="1">
      <alignment horizontal="center" vertical="top" wrapText="1"/>
      <protection locked="0"/>
    </xf>
    <xf numFmtId="0" fontId="3" fillId="0" borderId="15" xfId="3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2" fontId="14" fillId="0" borderId="1" xfId="3" applyNumberFormat="1" applyFont="1" applyBorder="1" applyAlignment="1">
      <alignment horizontal="center" vertical="top" wrapText="1"/>
    </xf>
    <xf numFmtId="2" fontId="14" fillId="0" borderId="6" xfId="3" applyNumberFormat="1" applyFont="1" applyBorder="1" applyAlignment="1">
      <alignment horizontal="center" vertical="top" wrapText="1"/>
    </xf>
    <xf numFmtId="0" fontId="15" fillId="0" borderId="0" xfId="3" applyFont="1" applyAlignment="1">
      <alignment horizontal="right" vertical="top"/>
    </xf>
    <xf numFmtId="0" fontId="10" fillId="0" borderId="23" xfId="3" applyFont="1" applyBorder="1" applyAlignment="1">
      <alignment horizontal="left" vertical="top"/>
    </xf>
    <xf numFmtId="2" fontId="14" fillId="0" borderId="24" xfId="3" applyNumberFormat="1" applyFont="1" applyBorder="1" applyAlignment="1">
      <alignment horizontal="center" vertical="top"/>
    </xf>
    <xf numFmtId="2" fontId="14" fillId="0" borderId="25" xfId="3" applyNumberFormat="1" applyFont="1" applyBorder="1" applyAlignment="1">
      <alignment horizontal="center" vertical="top"/>
    </xf>
    <xf numFmtId="0" fontId="13" fillId="0" borderId="0" xfId="1" applyFont="1" applyBorder="1" applyAlignment="1">
      <alignment horizontal="left" vertical="top" wrapText="1"/>
    </xf>
    <xf numFmtId="0" fontId="10" fillId="0" borderId="0" xfId="3" applyFont="1" applyAlignment="1">
      <alignment horizontal="left" vertical="top"/>
    </xf>
    <xf numFmtId="2" fontId="1" fillId="2" borderId="22" xfId="3" applyNumberFormat="1" applyFont="1" applyFill="1" applyBorder="1" applyAlignment="1">
      <alignment horizontal="center" vertical="top"/>
    </xf>
    <xf numFmtId="0" fontId="8" fillId="2" borderId="2" xfId="4" applyFont="1" applyFill="1" applyBorder="1" applyAlignment="1">
      <alignment horizontal="center" vertical="top" textRotation="90" wrapText="1"/>
    </xf>
    <xf numFmtId="0" fontId="8" fillId="2" borderId="5" xfId="4" applyFont="1" applyFill="1" applyBorder="1" applyAlignment="1">
      <alignment horizontal="center" vertical="top" textRotation="90" wrapText="1"/>
    </xf>
    <xf numFmtId="0" fontId="8" fillId="2" borderId="7" xfId="4" applyFont="1" applyFill="1" applyBorder="1" applyAlignment="1">
      <alignment horizontal="center" vertical="top" textRotation="90" wrapText="1"/>
    </xf>
    <xf numFmtId="0" fontId="8" fillId="2" borderId="18" xfId="4" applyFont="1" applyFill="1" applyBorder="1" applyAlignment="1">
      <alignment horizontal="center" vertical="top" textRotation="90" wrapText="1"/>
    </xf>
    <xf numFmtId="0" fontId="8" fillId="2" borderId="14" xfId="4" applyFont="1" applyFill="1" applyBorder="1" applyAlignment="1">
      <alignment horizontal="center" vertical="top" textRotation="90" wrapText="1"/>
    </xf>
    <xf numFmtId="0" fontId="1" fillId="2" borderId="2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22" xfId="4" applyFont="1" applyFill="1" applyBorder="1" applyAlignment="1">
      <alignment horizontal="right" vertical="top"/>
    </xf>
    <xf numFmtId="0" fontId="10" fillId="0" borderId="10" xfId="4" applyFont="1" applyBorder="1" applyAlignment="1">
      <alignment horizontal="left" vertical="top" wrapText="1"/>
    </xf>
    <xf numFmtId="0" fontId="10" fillId="0" borderId="0" xfId="4" applyFont="1" applyAlignment="1">
      <alignment horizontal="left" vertical="top" wrapText="1"/>
    </xf>
    <xf numFmtId="49" fontId="10" fillId="2" borderId="2" xfId="0" applyNumberFormat="1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2" fontId="10" fillId="0" borderId="26" xfId="3" applyNumberFormat="1" applyFont="1" applyBorder="1" applyAlignment="1">
      <alignment horizontal="center" vertical="top" wrapText="1"/>
    </xf>
    <xf numFmtId="2" fontId="14" fillId="0" borderId="26" xfId="3" applyNumberFormat="1" applyFont="1" applyBorder="1" applyAlignment="1">
      <alignment horizontal="center" vertical="top" wrapText="1"/>
    </xf>
    <xf numFmtId="0" fontId="10" fillId="2" borderId="2" xfId="0" applyNumberFormat="1" applyFont="1" applyFill="1" applyBorder="1" applyAlignment="1">
      <alignment horizontal="center" vertical="top"/>
    </xf>
    <xf numFmtId="0" fontId="10" fillId="2" borderId="4" xfId="0" applyNumberFormat="1" applyFont="1" applyFill="1" applyBorder="1" applyAlignment="1">
      <alignment horizontal="center" vertical="top"/>
    </xf>
    <xf numFmtId="0" fontId="10" fillId="0" borderId="0" xfId="4" applyFont="1" applyBorder="1" applyAlignment="1">
      <alignment horizontal="left" vertical="top" wrapText="1"/>
    </xf>
    <xf numFmtId="0" fontId="10" fillId="2" borderId="22" xfId="4" applyFont="1" applyFill="1" applyBorder="1" applyAlignment="1">
      <alignment horizontal="right" vertical="top" wrapText="1"/>
    </xf>
    <xf numFmtId="0" fontId="10" fillId="2" borderId="22" xfId="3" applyFont="1" applyFill="1" applyBorder="1" applyAlignment="1">
      <alignment horizontal="center" vertical="top" wrapText="1"/>
    </xf>
    <xf numFmtId="0" fontId="14" fillId="0" borderId="5" xfId="3" applyFont="1" applyBorder="1" applyAlignment="1">
      <alignment horizontal="center" vertical="top" wrapText="1"/>
    </xf>
    <xf numFmtId="0" fontId="14" fillId="0" borderId="6" xfId="3" applyFont="1" applyBorder="1" applyAlignment="1">
      <alignment horizontal="left" vertical="top" wrapText="1"/>
    </xf>
    <xf numFmtId="0" fontId="14" fillId="0" borderId="7" xfId="3" applyFont="1" applyBorder="1" applyAlignment="1">
      <alignment horizontal="center" vertical="top" wrapText="1"/>
    </xf>
    <xf numFmtId="0" fontId="14" fillId="0" borderId="9" xfId="3" applyFont="1" applyBorder="1" applyAlignment="1">
      <alignment horizontal="left" vertical="top" wrapText="1"/>
    </xf>
    <xf numFmtId="0" fontId="2" fillId="0" borderId="2" xfId="3" applyFont="1" applyBorder="1" applyAlignment="1">
      <alignment horizontal="center" vertical="top" wrapText="1"/>
    </xf>
    <xf numFmtId="0" fontId="2" fillId="0" borderId="11" xfId="3" applyFont="1" applyBorder="1" applyAlignment="1">
      <alignment horizontal="center" vertical="top" wrapText="1"/>
    </xf>
    <xf numFmtId="0" fontId="2" fillId="0" borderId="4" xfId="3" applyFont="1" applyBorder="1" applyAlignment="1">
      <alignment horizontal="left" vertical="top" wrapText="1"/>
    </xf>
    <xf numFmtId="0" fontId="2" fillId="0" borderId="5" xfId="3" applyFont="1" applyBorder="1" applyAlignment="1">
      <alignment horizontal="center" vertical="top" wrapText="1"/>
    </xf>
    <xf numFmtId="0" fontId="2" fillId="0" borderId="12" xfId="3" applyFont="1" applyBorder="1" applyAlignment="1">
      <alignment horizontal="center" vertical="top" wrapText="1"/>
    </xf>
    <xf numFmtId="0" fontId="2" fillId="0" borderId="6" xfId="3" applyFont="1" applyBorder="1" applyAlignment="1">
      <alignment horizontal="left" vertical="top" wrapText="1"/>
    </xf>
    <xf numFmtId="0" fontId="2" fillId="0" borderId="7" xfId="3" applyFont="1" applyBorder="1" applyAlignment="1">
      <alignment horizontal="center" vertical="top" wrapText="1"/>
    </xf>
    <xf numFmtId="0" fontId="2" fillId="0" borderId="13" xfId="3" applyFont="1" applyBorder="1" applyAlignment="1">
      <alignment horizontal="center" vertical="top" wrapText="1"/>
    </xf>
    <xf numFmtId="0" fontId="2" fillId="0" borderId="9" xfId="3" applyFont="1" applyBorder="1" applyAlignment="1">
      <alignment horizontal="left" vertical="top" wrapText="1"/>
    </xf>
    <xf numFmtId="0" fontId="2" fillId="0" borderId="18" xfId="3" applyFont="1" applyBorder="1" applyAlignment="1">
      <alignment horizontal="center" vertical="top" wrapText="1"/>
    </xf>
    <xf numFmtId="0" fontId="2" fillId="0" borderId="20" xfId="3" applyFont="1" applyBorder="1" applyAlignment="1">
      <alignment horizontal="center" vertical="top" wrapText="1"/>
    </xf>
    <xf numFmtId="0" fontId="2" fillId="0" borderId="21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center" vertical="top" wrapText="1"/>
    </xf>
    <xf numFmtId="0" fontId="2" fillId="0" borderId="16" xfId="3" applyFont="1" applyBorder="1" applyAlignment="1">
      <alignment horizontal="center" vertical="top" wrapText="1"/>
    </xf>
    <xf numFmtId="0" fontId="2" fillId="0" borderId="17" xfId="3" applyFont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1.1. Parámetros generales requeridos para el diseño y la modelación</c:v>
            </c:pt>
          </c:strCache>
        </c:strRef>
      </c:tx>
      <c:layout>
        <c:manualLayout>
          <c:xMode val="edge"/>
          <c:yMode val="edge"/>
          <c:x val="0.19254833333333332"/>
          <c:y val="2.4157843137254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9.8256864234579813E-2"/>
          <c:w val="0.94825925925925925"/>
          <c:h val="0.576741491997604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Calificacion!#REF!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C-4CCE-8B82-B33CBA6C4C61}"/>
            </c:ext>
          </c:extLst>
        </c:ser>
        <c:ser>
          <c:idx val="2"/>
          <c:order val="1"/>
          <c:tx>
            <c:strRef>
              <c:f>Calificacion!$B$5</c:f>
              <c:strCache>
                <c:ptCount val="1"/>
                <c:pt idx="0">
                  <c:v>Técnicos requeridos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Calificacion!$C$5:$G$5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C-4CCE-8B82-B33CBA6C4C61}"/>
            </c:ext>
          </c:extLst>
        </c:ser>
        <c:ser>
          <c:idx val="3"/>
          <c:order val="2"/>
          <c:tx>
            <c:strRef>
              <c:f>Calificacion!$B$6</c:f>
              <c:strCache>
                <c:ptCount val="1"/>
                <c:pt idx="0">
                  <c:v>Normativos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Calificacion!$C$6:$G$6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1C-4CCE-8B82-B33CBA6C4C61}"/>
            </c:ext>
          </c:extLst>
        </c:ser>
        <c:ser>
          <c:idx val="4"/>
          <c:order val="3"/>
          <c:tx>
            <c:strRef>
              <c:f>Calificacion!$B$7</c:f>
              <c:strCache>
                <c:ptCount val="1"/>
                <c:pt idx="0">
                  <c:v>Geotécnico, ambiental y 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Calificacion!$C$7:$G$7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1C-4CCE-8B82-B33CBA6C4C61}"/>
            </c:ext>
          </c:extLst>
        </c:ser>
        <c:ser>
          <c:idx val="1"/>
          <c:order val="4"/>
          <c:tx>
            <c:strRef>
              <c:f>Calificacion!$B$8</c:f>
              <c:strCache>
                <c:ptCount val="1"/>
                <c:pt idx="0">
                  <c:v>Territorial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Calificacion!$C$4:$G$4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Calificacion!$C$8:$G$8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6-4BFA-B3ED-A538F5B0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37366336"/>
        <c:axId val="737360104"/>
      </c:barChart>
      <c:catAx>
        <c:axId val="7373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37360104"/>
        <c:crosses val="autoZero"/>
        <c:auto val="1"/>
        <c:lblAlgn val="ctr"/>
        <c:lblOffset val="100"/>
        <c:noMultiLvlLbl val="0"/>
      </c:catAx>
      <c:valAx>
        <c:axId val="73736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635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373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7.5890555555555544E-2"/>
          <c:y val="0.83295798919330988"/>
          <c:w val="0.87879296296296294"/>
          <c:h val="0.14658821571506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214007</xdr:colOff>
      <xdr:row>1</xdr:row>
      <xdr:rowOff>179780</xdr:rowOff>
    </xdr:from>
    <xdr:to>
      <xdr:col>24</xdr:col>
      <xdr:colOff>280006</xdr:colOff>
      <xdr:row>19</xdr:row>
      <xdr:rowOff>10207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27ECB4-3D64-47F1-A12F-34E5D7162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1/Readme.m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6C5F-B1A2-4E2F-B4FE-201182B3C842}">
  <dimension ref="A1:S28"/>
  <sheetViews>
    <sheetView showGridLines="0" tabSelected="1" zoomScale="130" zoomScaleNormal="130" workbookViewId="0"/>
  </sheetViews>
  <sheetFormatPr defaultColWidth="10" defaultRowHeight="15.4" x14ac:dyDescent="0.45"/>
  <cols>
    <col min="1" max="1" width="2.6640625" style="11" customWidth="1"/>
    <col min="2" max="2" width="29.86328125" style="11" customWidth="1"/>
    <col min="3" max="16" width="5.6640625" style="13" customWidth="1"/>
    <col min="17" max="16384" width="10" style="13"/>
  </cols>
  <sheetData>
    <row r="1" spans="1:19" x14ac:dyDescent="0.45">
      <c r="A1" s="13"/>
      <c r="B1" s="13"/>
      <c r="P1" s="71" t="s">
        <v>73</v>
      </c>
    </row>
    <row r="2" spans="1:19" x14ac:dyDescent="0.45">
      <c r="B2" s="76" t="s">
        <v>72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9" x14ac:dyDescent="0.45">
      <c r="B3" s="72" t="s">
        <v>66</v>
      </c>
      <c r="C3" s="73">
        <v>5</v>
      </c>
      <c r="D3" s="73">
        <v>5</v>
      </c>
      <c r="E3" s="73">
        <v>5</v>
      </c>
      <c r="F3" s="73">
        <v>5</v>
      </c>
      <c r="G3" s="73">
        <v>5</v>
      </c>
      <c r="H3" s="73">
        <v>5</v>
      </c>
      <c r="I3" s="73">
        <v>5</v>
      </c>
      <c r="J3" s="73">
        <v>5</v>
      </c>
      <c r="K3" s="73">
        <v>5</v>
      </c>
      <c r="L3" s="73">
        <v>5</v>
      </c>
      <c r="M3" s="73">
        <v>5</v>
      </c>
      <c r="N3" s="73">
        <v>5</v>
      </c>
      <c r="O3" s="73">
        <v>5</v>
      </c>
      <c r="P3" s="74">
        <v>5</v>
      </c>
    </row>
    <row r="4" spans="1:19" ht="62.55" customHeight="1" x14ac:dyDescent="0.45">
      <c r="B4" s="12" t="s">
        <v>52</v>
      </c>
      <c r="C4" s="34" t="s">
        <v>55</v>
      </c>
      <c r="D4" s="34" t="s">
        <v>56</v>
      </c>
      <c r="E4" s="34" t="s">
        <v>57</v>
      </c>
      <c r="F4" s="34" t="s">
        <v>58</v>
      </c>
      <c r="G4" s="34" t="s">
        <v>59</v>
      </c>
      <c r="H4" s="34" t="s">
        <v>76</v>
      </c>
      <c r="I4" s="34" t="s">
        <v>77</v>
      </c>
      <c r="J4" s="34" t="s">
        <v>78</v>
      </c>
      <c r="K4" s="34" t="s">
        <v>79</v>
      </c>
      <c r="L4" s="34" t="s">
        <v>80</v>
      </c>
      <c r="M4" s="34" t="s">
        <v>81</v>
      </c>
      <c r="N4" s="34" t="s">
        <v>82</v>
      </c>
      <c r="O4" s="34" t="s">
        <v>83</v>
      </c>
      <c r="P4" s="39" t="s">
        <v>84</v>
      </c>
    </row>
    <row r="5" spans="1:19" s="11" customFormat="1" x14ac:dyDescent="0.45">
      <c r="B5" s="14" t="s">
        <v>48</v>
      </c>
      <c r="C5" s="15">
        <f>TecnicoRequerido!H20*$C$3/5</f>
        <v>0</v>
      </c>
      <c r="D5" s="15">
        <f>TecnicoRequerido!K20*$D$3/5</f>
        <v>0</v>
      </c>
      <c r="E5" s="15">
        <f>TecnicoRequerido!N20*$E$3/5</f>
        <v>0</v>
      </c>
      <c r="F5" s="15">
        <f>TecnicoRequerido!Q20*$F$3/5</f>
        <v>0</v>
      </c>
      <c r="G5" s="15">
        <f>TecnicoRequerido!T20*$G$3/5</f>
        <v>0</v>
      </c>
      <c r="H5" s="15">
        <f>TecnicoRequerido!W20*$H$3/5</f>
        <v>0</v>
      </c>
      <c r="I5" s="15">
        <f>TecnicoRequerido!Z20*$I$3/5</f>
        <v>0</v>
      </c>
      <c r="J5" s="15">
        <f>TecnicoRequerido!AC20*$J$3/5</f>
        <v>0</v>
      </c>
      <c r="K5" s="15">
        <f>TecnicoRequerido!AF20*$K$3/5</f>
        <v>0</v>
      </c>
      <c r="L5" s="15">
        <f>TecnicoRequerido!AI20*$L$3/5</f>
        <v>0</v>
      </c>
      <c r="M5" s="15">
        <f>TecnicoRequerido!AL20*$M$3/5</f>
        <v>0</v>
      </c>
      <c r="N5" s="15">
        <f>TecnicoRequerido!AO20*$N$3/5</f>
        <v>0</v>
      </c>
      <c r="O5" s="91">
        <f>TecnicoRequerido!AR20*$O$3/5</f>
        <v>0</v>
      </c>
      <c r="P5" s="33">
        <f>TecnicoRequerido!AU20*$O$3/5</f>
        <v>0</v>
      </c>
      <c r="S5" s="13"/>
    </row>
    <row r="6" spans="1:19" x14ac:dyDescent="0.45">
      <c r="B6" s="14" t="s">
        <v>49</v>
      </c>
      <c r="C6" s="15">
        <f>Normativo!D9*$C$3/5</f>
        <v>0</v>
      </c>
      <c r="D6" s="15">
        <f>Normativo!F9*$D$3/5</f>
        <v>0</v>
      </c>
      <c r="E6" s="15">
        <f>Normativo!H9*$E$3/5</f>
        <v>0</v>
      </c>
      <c r="F6" s="15">
        <f>Normativo!J9*$F$3/5</f>
        <v>0</v>
      </c>
      <c r="G6" s="15">
        <f>Normativo!L9*$G$3/5</f>
        <v>0</v>
      </c>
      <c r="H6" s="15">
        <f>Normativo!N9*$H$3/5</f>
        <v>0</v>
      </c>
      <c r="I6" s="15">
        <f>Normativo!P9*$I$3/5</f>
        <v>0</v>
      </c>
      <c r="J6" s="15">
        <f>Normativo!R9*$J$3/5</f>
        <v>0</v>
      </c>
      <c r="K6" s="15">
        <f>Normativo!T9*$K$3/5</f>
        <v>0</v>
      </c>
      <c r="L6" s="15">
        <f>Normativo!V9*$L$3/5</f>
        <v>0</v>
      </c>
      <c r="M6" s="15">
        <f>Normativo!X9*$M$3/5</f>
        <v>0</v>
      </c>
      <c r="N6" s="15">
        <f>Normativo!Z9*$N$3/5</f>
        <v>0</v>
      </c>
      <c r="O6" s="91">
        <f>Normativo!AB9*$O$3/5</f>
        <v>0</v>
      </c>
      <c r="P6" s="33">
        <f>Normativo!AD9*$P$3/5</f>
        <v>0</v>
      </c>
    </row>
    <row r="7" spans="1:19" x14ac:dyDescent="0.45">
      <c r="B7" s="14" t="s">
        <v>50</v>
      </c>
      <c r="C7" s="15">
        <f>GeotecnicoAmbientalSocial!D12*$C$3/5</f>
        <v>0</v>
      </c>
      <c r="D7" s="15">
        <f>GeotecnicoAmbientalSocial!F12*$D$3/5</f>
        <v>0</v>
      </c>
      <c r="E7" s="15">
        <f>GeotecnicoAmbientalSocial!H12*$E$3/5</f>
        <v>0</v>
      </c>
      <c r="F7" s="15">
        <f>GeotecnicoAmbientalSocial!J12*$F$3/5</f>
        <v>0</v>
      </c>
      <c r="G7" s="15">
        <f>GeotecnicoAmbientalSocial!L12*$G$3/5</f>
        <v>0</v>
      </c>
      <c r="H7" s="15">
        <f>GeotecnicoAmbientalSocial!N12*$H$3/5</f>
        <v>0</v>
      </c>
      <c r="I7" s="15">
        <f>GeotecnicoAmbientalSocial!P12*$I$3/5</f>
        <v>0</v>
      </c>
      <c r="J7" s="15">
        <f>GeotecnicoAmbientalSocial!R12*$J$3/5</f>
        <v>0</v>
      </c>
      <c r="K7" s="15">
        <f>GeotecnicoAmbientalSocial!T12*$K$3/5</f>
        <v>0</v>
      </c>
      <c r="L7" s="15">
        <f>GeotecnicoAmbientalSocial!V12*$L$3/5</f>
        <v>0</v>
      </c>
      <c r="M7" s="15">
        <f>GeotecnicoAmbientalSocial!X12*$M$3/5</f>
        <v>0</v>
      </c>
      <c r="N7" s="15">
        <f>GeotecnicoAmbientalSocial!Z12*$N$3/5</f>
        <v>0</v>
      </c>
      <c r="O7" s="91">
        <f>GeotecnicoAmbientalSocial!AB12*$O$3/5</f>
        <v>0</v>
      </c>
      <c r="P7" s="33">
        <f>GeotecnicoAmbientalSocial!AD12*$P$3/5</f>
        <v>0</v>
      </c>
    </row>
    <row r="8" spans="1:19" x14ac:dyDescent="0.45">
      <c r="B8" s="14" t="s">
        <v>51</v>
      </c>
      <c r="C8" s="15">
        <f>Territorial!D12*$C$3/5</f>
        <v>0</v>
      </c>
      <c r="D8" s="15">
        <f>Territorial!F12*$D$3/5</f>
        <v>0</v>
      </c>
      <c r="E8" s="15">
        <f>Territorial!H12*$E$3/5</f>
        <v>0</v>
      </c>
      <c r="F8" s="15">
        <f>Territorial!J12*$F$3/5</f>
        <v>0</v>
      </c>
      <c r="G8" s="15">
        <f>Territorial!L12*$G$3/5</f>
        <v>0</v>
      </c>
      <c r="H8" s="15">
        <f>Territorial!N12*$H$3/5</f>
        <v>0</v>
      </c>
      <c r="I8" s="15">
        <f>Territorial!P12*$I$3/5</f>
        <v>0</v>
      </c>
      <c r="J8" s="15">
        <f>Territorial!R12*$J$3/5</f>
        <v>0</v>
      </c>
      <c r="K8" s="15">
        <f>Territorial!T12*$K$3/5</f>
        <v>0</v>
      </c>
      <c r="L8" s="15">
        <f>Territorial!V12*$L$3/5</f>
        <v>0</v>
      </c>
      <c r="M8" s="15">
        <f>Territorial!X12*$M$3/5</f>
        <v>0</v>
      </c>
      <c r="N8" s="15">
        <f>Territorial!Z12*$N$3/5</f>
        <v>0</v>
      </c>
      <c r="O8" s="91">
        <f>Territorial!AB12*$O$3/5</f>
        <v>0</v>
      </c>
      <c r="P8" s="33">
        <f>Territorial!AD12*$P$3/5</f>
        <v>0</v>
      </c>
    </row>
    <row r="9" spans="1:19" x14ac:dyDescent="0.45">
      <c r="B9" s="63" t="s">
        <v>69</v>
      </c>
      <c r="C9" s="62">
        <f t="shared" ref="C9:P9" si="0">AVERAGE(C5:C8)</f>
        <v>0</v>
      </c>
      <c r="D9" s="62">
        <f t="shared" si="0"/>
        <v>0</v>
      </c>
      <c r="E9" s="62">
        <f t="shared" si="0"/>
        <v>0</v>
      </c>
      <c r="F9" s="62">
        <f t="shared" si="0"/>
        <v>0</v>
      </c>
      <c r="G9" s="62">
        <f t="shared" si="0"/>
        <v>0</v>
      </c>
      <c r="H9" s="62">
        <f t="shared" si="0"/>
        <v>0</v>
      </c>
      <c r="I9" s="62">
        <f t="shared" si="0"/>
        <v>0</v>
      </c>
      <c r="J9" s="62">
        <f t="shared" si="0"/>
        <v>0</v>
      </c>
      <c r="K9" s="62">
        <f t="shared" si="0"/>
        <v>0</v>
      </c>
      <c r="L9" s="62">
        <f t="shared" si="0"/>
        <v>0</v>
      </c>
      <c r="M9" s="62">
        <f t="shared" si="0"/>
        <v>0</v>
      </c>
      <c r="N9" s="62">
        <f t="shared" si="0"/>
        <v>0</v>
      </c>
      <c r="O9" s="62">
        <f>AVERAGE(O5:O8)</f>
        <v>0</v>
      </c>
      <c r="P9" s="64">
        <f t="shared" si="0"/>
        <v>0</v>
      </c>
    </row>
    <row r="10" spans="1:19" x14ac:dyDescent="0.45">
      <c r="B10" s="63" t="s">
        <v>67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92"/>
      <c r="P10" s="70"/>
    </row>
    <row r="11" spans="1:19" x14ac:dyDescent="0.45">
      <c r="B11" s="16" t="s">
        <v>68</v>
      </c>
      <c r="C11" s="17">
        <f>AVERAGE(C9:C10)</f>
        <v>0</v>
      </c>
      <c r="D11" s="17">
        <f t="shared" ref="D11:P11" si="1">AVERAGE(D9:D10)</f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17">
        <f t="shared" si="1"/>
        <v>0</v>
      </c>
      <c r="K11" s="17">
        <f t="shared" si="1"/>
        <v>0</v>
      </c>
      <c r="L11" s="17">
        <f t="shared" si="1"/>
        <v>0</v>
      </c>
      <c r="M11" s="17">
        <f t="shared" si="1"/>
        <v>0</v>
      </c>
      <c r="N11" s="17">
        <f t="shared" si="1"/>
        <v>0</v>
      </c>
      <c r="O11" s="17">
        <f t="shared" si="1"/>
        <v>0</v>
      </c>
      <c r="P11" s="18">
        <f t="shared" si="1"/>
        <v>0</v>
      </c>
    </row>
    <row r="12" spans="1:19" ht="15.4" customHeight="1" x14ac:dyDescent="0.45">
      <c r="B12" s="75" t="s">
        <v>74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</row>
    <row r="13" spans="1:19" x14ac:dyDescent="0.45"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</row>
    <row r="18" spans="2:9" x14ac:dyDescent="0.45">
      <c r="B18" s="13"/>
    </row>
    <row r="19" spans="2:9" x14ac:dyDescent="0.45">
      <c r="B19" s="13"/>
    </row>
    <row r="20" spans="2:9" x14ac:dyDescent="0.45">
      <c r="B20" s="13"/>
    </row>
    <row r="21" spans="2:9" x14ac:dyDescent="0.45">
      <c r="B21" s="13"/>
    </row>
    <row r="22" spans="2:9" x14ac:dyDescent="0.45">
      <c r="B22" s="13"/>
    </row>
    <row r="23" spans="2:9" x14ac:dyDescent="0.45">
      <c r="B23" s="13"/>
    </row>
    <row r="24" spans="2:9" x14ac:dyDescent="0.45">
      <c r="B24" s="13"/>
    </row>
    <row r="25" spans="2:9" x14ac:dyDescent="0.45">
      <c r="B25" s="13"/>
    </row>
    <row r="28" spans="2:9" x14ac:dyDescent="0.45">
      <c r="C28" s="11"/>
      <c r="D28" s="11"/>
      <c r="E28" s="11"/>
      <c r="F28" s="11"/>
      <c r="G28" s="11"/>
      <c r="H28" s="11"/>
      <c r="I28" s="11"/>
    </row>
  </sheetData>
  <mergeCells count="3">
    <mergeCell ref="B12:P12"/>
    <mergeCell ref="B2:P2"/>
    <mergeCell ref="B13:P13"/>
  </mergeCells>
  <phoneticPr fontId="16" type="noConversion"/>
  <hyperlinks>
    <hyperlink ref="B12" r:id="rId1" xr:uid="{7AC7C1A8-5742-4C6D-BC77-BBAC6D9A9582}"/>
  </hyperlinks>
  <pageMargins left="0.70866141732283472" right="0.70866141732283472" top="0.74803149606299213" bottom="0.74803149606299213" header="0.31496062992125984" footer="0.31496062992125984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5750-EB63-4981-85A4-BB8589F74C2B}">
  <sheetPr codeName="Hoja9"/>
  <dimension ref="A1:AW45"/>
  <sheetViews>
    <sheetView showGridLines="0" zoomScale="115" zoomScaleNormal="11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ColWidth="11.3984375" defaultRowHeight="16.5" x14ac:dyDescent="0.45"/>
  <cols>
    <col min="1" max="1" width="2.6640625" style="1" customWidth="1"/>
    <col min="2" max="2" width="6.33203125" style="1" customWidth="1"/>
    <col min="3" max="3" width="30.6640625" style="2" customWidth="1"/>
    <col min="4" max="4" width="13.33203125" style="2" customWidth="1"/>
    <col min="5" max="5" width="8.1328125" style="2" customWidth="1"/>
    <col min="6" max="6" width="10" style="2" customWidth="1"/>
    <col min="7" max="7" width="6" style="2" customWidth="1"/>
    <col min="8" max="8" width="5.6640625" style="2" customWidth="1"/>
    <col min="9" max="9" width="5.6640625" style="38" customWidth="1"/>
    <col min="10" max="10" width="30.6640625" style="2" customWidth="1"/>
    <col min="11" max="11" width="5.6640625" style="2" customWidth="1"/>
    <col min="12" max="12" width="5.6640625" style="38" customWidth="1"/>
    <col min="13" max="13" width="30.6640625" style="2" customWidth="1"/>
    <col min="14" max="14" width="5.6640625" style="2" customWidth="1"/>
    <col min="15" max="15" width="5.6640625" style="38" customWidth="1"/>
    <col min="16" max="16" width="30.6640625" style="2" customWidth="1"/>
    <col min="17" max="17" width="5.6640625" style="2" customWidth="1"/>
    <col min="18" max="18" width="5.6640625" style="38" customWidth="1"/>
    <col min="19" max="19" width="30.6640625" style="2" customWidth="1"/>
    <col min="20" max="20" width="5.6640625" style="2" customWidth="1"/>
    <col min="21" max="21" width="5.6640625" style="38" customWidth="1"/>
    <col min="22" max="22" width="30.6640625" style="2" customWidth="1"/>
    <col min="23" max="23" width="5.6640625" style="2" customWidth="1"/>
    <col min="24" max="24" width="5.6640625" style="38" customWidth="1"/>
    <col min="25" max="25" width="30.6640625" style="2" customWidth="1"/>
    <col min="26" max="26" width="5.6640625" style="2" customWidth="1"/>
    <col min="27" max="27" width="5.6640625" style="38" customWidth="1"/>
    <col min="28" max="28" width="30.6640625" style="2" customWidth="1"/>
    <col min="29" max="29" width="5.6640625" style="2" customWidth="1"/>
    <col min="30" max="30" width="5.6640625" style="38" customWidth="1"/>
    <col min="31" max="31" width="30.6640625" style="2" customWidth="1"/>
    <col min="32" max="32" width="5.6640625" style="2" customWidth="1"/>
    <col min="33" max="33" width="5.6640625" style="38" customWidth="1"/>
    <col min="34" max="34" width="30.6640625" style="2" customWidth="1"/>
    <col min="35" max="35" width="5.6640625" style="2" customWidth="1"/>
    <col min="36" max="36" width="5.6640625" style="38" customWidth="1"/>
    <col min="37" max="37" width="30.6640625" style="2" customWidth="1"/>
    <col min="38" max="38" width="5.6640625" style="2" customWidth="1"/>
    <col min="39" max="39" width="5.6640625" style="38" customWidth="1"/>
    <col min="40" max="40" width="30.6640625" style="2" customWidth="1"/>
    <col min="41" max="41" width="5.6640625" style="2" customWidth="1"/>
    <col min="42" max="42" width="5.6640625" style="38" customWidth="1"/>
    <col min="43" max="43" width="30.6640625" style="2" customWidth="1"/>
    <col min="44" max="44" width="5.6640625" style="2" customWidth="1"/>
    <col min="45" max="45" width="5.6640625" style="38" customWidth="1"/>
    <col min="46" max="46" width="30.6640625" style="2" customWidth="1"/>
    <col min="47" max="47" width="5.6640625" style="2" customWidth="1"/>
    <col min="48" max="48" width="5.6640625" style="38" customWidth="1"/>
    <col min="49" max="49" width="30.6640625" style="2" customWidth="1"/>
    <col min="50" max="16384" width="11.3984375" style="2"/>
  </cols>
  <sheetData>
    <row r="1" spans="1:49" s="13" customFormat="1" ht="15.4" x14ac:dyDescent="0.45">
      <c r="A1" s="25"/>
      <c r="B1" s="25"/>
      <c r="G1" s="26"/>
      <c r="H1" s="27"/>
      <c r="I1" s="35"/>
      <c r="K1" s="27"/>
      <c r="L1" s="35"/>
      <c r="N1" s="27"/>
      <c r="O1" s="35"/>
      <c r="Q1" s="27"/>
      <c r="R1" s="35"/>
      <c r="T1" s="27"/>
      <c r="U1" s="35"/>
      <c r="W1" s="27"/>
      <c r="X1" s="35"/>
      <c r="Z1" s="27"/>
      <c r="AA1" s="35"/>
      <c r="AC1" s="27"/>
      <c r="AD1" s="35"/>
      <c r="AF1" s="27"/>
      <c r="AG1" s="35"/>
      <c r="AI1" s="27"/>
      <c r="AJ1" s="35"/>
      <c r="AL1" s="27"/>
      <c r="AM1" s="35"/>
      <c r="AO1" s="27"/>
      <c r="AP1" s="35"/>
      <c r="AR1" s="27"/>
      <c r="AS1" s="35"/>
      <c r="AU1" s="27"/>
      <c r="AV1" s="35"/>
    </row>
    <row r="2" spans="1:49" x14ac:dyDescent="0.45">
      <c r="B2" s="9" t="s">
        <v>63</v>
      </c>
      <c r="C2" s="10"/>
      <c r="D2" s="10"/>
      <c r="E2" s="10"/>
      <c r="F2" s="10"/>
      <c r="G2" s="54"/>
      <c r="H2" s="83" t="str">
        <f>Calificacion!C$4</f>
        <v>Grupo 1</v>
      </c>
      <c r="I2" s="84"/>
      <c r="J2" s="85"/>
      <c r="K2" s="83" t="str">
        <f>Calificacion!D$4</f>
        <v>Grupo 2</v>
      </c>
      <c r="L2" s="84"/>
      <c r="M2" s="85"/>
      <c r="N2" s="83" t="str">
        <f>Calificacion!E$4</f>
        <v>Grupo 3</v>
      </c>
      <c r="O2" s="84"/>
      <c r="P2" s="85"/>
      <c r="Q2" s="83" t="str">
        <f>Calificacion!F$4</f>
        <v>Grupo 4</v>
      </c>
      <c r="R2" s="84"/>
      <c r="S2" s="85"/>
      <c r="T2" s="83" t="str">
        <f>Calificacion!G$4</f>
        <v>Grupo 5</v>
      </c>
      <c r="U2" s="84"/>
      <c r="V2" s="85"/>
      <c r="W2" s="83" t="str">
        <f>Calificacion!H$4</f>
        <v>Grupo 6</v>
      </c>
      <c r="X2" s="84"/>
      <c r="Y2" s="85"/>
      <c r="Z2" s="83" t="str">
        <f>Calificacion!I$4</f>
        <v>Grupo 7</v>
      </c>
      <c r="AA2" s="84"/>
      <c r="AB2" s="85"/>
      <c r="AC2" s="83" t="str">
        <f>Calificacion!J$4</f>
        <v>Grupo 8</v>
      </c>
      <c r="AD2" s="84"/>
      <c r="AE2" s="85"/>
      <c r="AF2" s="83" t="str">
        <f>Calificacion!K$4</f>
        <v>Grupo 9</v>
      </c>
      <c r="AG2" s="84"/>
      <c r="AH2" s="85"/>
      <c r="AI2" s="83" t="str">
        <f>Calificacion!L$4</f>
        <v>Grupo 10</v>
      </c>
      <c r="AJ2" s="84"/>
      <c r="AK2" s="85"/>
      <c r="AL2" s="83" t="str">
        <f>Calificacion!M$4</f>
        <v>Grupo 11</v>
      </c>
      <c r="AM2" s="84"/>
      <c r="AN2" s="85"/>
      <c r="AO2" s="83" t="str">
        <f>Calificacion!N$4</f>
        <v>Grupo 12</v>
      </c>
      <c r="AP2" s="84"/>
      <c r="AQ2" s="85"/>
      <c r="AR2" s="83" t="str">
        <f>Calificacion!O$4</f>
        <v>Grupo 13</v>
      </c>
      <c r="AS2" s="84"/>
      <c r="AT2" s="85"/>
      <c r="AU2" s="83" t="str">
        <f>Calificacion!P$4</f>
        <v>Grupo 14</v>
      </c>
      <c r="AV2" s="84"/>
      <c r="AW2" s="85"/>
    </row>
    <row r="3" spans="1:49" x14ac:dyDescent="0.45">
      <c r="B3" s="40" t="s">
        <v>11</v>
      </c>
      <c r="C3" s="51" t="s">
        <v>12</v>
      </c>
      <c r="D3" s="41" t="s">
        <v>47</v>
      </c>
      <c r="E3" s="41" t="s">
        <v>0</v>
      </c>
      <c r="F3" s="41" t="s">
        <v>1</v>
      </c>
      <c r="G3" s="55" t="s">
        <v>45</v>
      </c>
      <c r="H3" s="42" t="s">
        <v>44</v>
      </c>
      <c r="I3" s="43" t="s">
        <v>54</v>
      </c>
      <c r="J3" s="44" t="s">
        <v>53</v>
      </c>
      <c r="K3" s="42" t="s">
        <v>44</v>
      </c>
      <c r="L3" s="43" t="s">
        <v>54</v>
      </c>
      <c r="M3" s="44" t="s">
        <v>53</v>
      </c>
      <c r="N3" s="42" t="s">
        <v>44</v>
      </c>
      <c r="O3" s="43" t="s">
        <v>54</v>
      </c>
      <c r="P3" s="44" t="s">
        <v>53</v>
      </c>
      <c r="Q3" s="42" t="s">
        <v>44</v>
      </c>
      <c r="R3" s="43" t="s">
        <v>54</v>
      </c>
      <c r="S3" s="44" t="s">
        <v>53</v>
      </c>
      <c r="T3" s="42" t="s">
        <v>44</v>
      </c>
      <c r="U3" s="43" t="s">
        <v>54</v>
      </c>
      <c r="V3" s="44" t="s">
        <v>53</v>
      </c>
      <c r="W3" s="42" t="s">
        <v>44</v>
      </c>
      <c r="X3" s="43" t="s">
        <v>54</v>
      </c>
      <c r="Y3" s="44" t="s">
        <v>53</v>
      </c>
      <c r="Z3" s="42" t="s">
        <v>44</v>
      </c>
      <c r="AA3" s="43" t="s">
        <v>54</v>
      </c>
      <c r="AB3" s="44" t="s">
        <v>53</v>
      </c>
      <c r="AC3" s="42" t="s">
        <v>44</v>
      </c>
      <c r="AD3" s="43" t="s">
        <v>54</v>
      </c>
      <c r="AE3" s="44" t="s">
        <v>53</v>
      </c>
      <c r="AF3" s="42" t="s">
        <v>44</v>
      </c>
      <c r="AG3" s="43" t="s">
        <v>54</v>
      </c>
      <c r="AH3" s="44" t="s">
        <v>53</v>
      </c>
      <c r="AI3" s="42" t="s">
        <v>44</v>
      </c>
      <c r="AJ3" s="43" t="s">
        <v>54</v>
      </c>
      <c r="AK3" s="44" t="s">
        <v>53</v>
      </c>
      <c r="AL3" s="42" t="s">
        <v>44</v>
      </c>
      <c r="AM3" s="43" t="s">
        <v>54</v>
      </c>
      <c r="AN3" s="44" t="s">
        <v>53</v>
      </c>
      <c r="AO3" s="42" t="s">
        <v>44</v>
      </c>
      <c r="AP3" s="43" t="s">
        <v>54</v>
      </c>
      <c r="AQ3" s="44" t="s">
        <v>53</v>
      </c>
      <c r="AR3" s="42" t="s">
        <v>44</v>
      </c>
      <c r="AS3" s="43" t="s">
        <v>54</v>
      </c>
      <c r="AT3" s="44" t="s">
        <v>53</v>
      </c>
      <c r="AU3" s="42" t="s">
        <v>44</v>
      </c>
      <c r="AV3" s="43" t="s">
        <v>54</v>
      </c>
      <c r="AW3" s="44" t="s">
        <v>53</v>
      </c>
    </row>
    <row r="4" spans="1:49" x14ac:dyDescent="0.45">
      <c r="B4" s="78" t="s">
        <v>2</v>
      </c>
      <c r="C4" s="48" t="s">
        <v>33</v>
      </c>
      <c r="D4" s="49">
        <v>2.33</v>
      </c>
      <c r="E4" s="50" t="s">
        <v>3</v>
      </c>
      <c r="F4" s="50" t="s">
        <v>4</v>
      </c>
      <c r="G4" s="56">
        <v>1</v>
      </c>
      <c r="H4" s="102">
        <v>0</v>
      </c>
      <c r="I4" s="103"/>
      <c r="J4" s="104"/>
      <c r="K4" s="102">
        <v>0</v>
      </c>
      <c r="L4" s="103"/>
      <c r="M4" s="104"/>
      <c r="N4" s="102">
        <v>0</v>
      </c>
      <c r="O4" s="103"/>
      <c r="P4" s="104"/>
      <c r="Q4" s="102">
        <v>0</v>
      </c>
      <c r="R4" s="103"/>
      <c r="S4" s="104"/>
      <c r="T4" s="102">
        <v>0</v>
      </c>
      <c r="U4" s="103"/>
      <c r="V4" s="104"/>
      <c r="W4" s="102">
        <v>0</v>
      </c>
      <c r="X4" s="103"/>
      <c r="Y4" s="104"/>
      <c r="Z4" s="102">
        <v>0</v>
      </c>
      <c r="AA4" s="103"/>
      <c r="AB4" s="104"/>
      <c r="AC4" s="102">
        <v>0</v>
      </c>
      <c r="AD4" s="103"/>
      <c r="AE4" s="104"/>
      <c r="AF4" s="102">
        <v>0</v>
      </c>
      <c r="AG4" s="103"/>
      <c r="AH4" s="104"/>
      <c r="AI4" s="102">
        <v>0</v>
      </c>
      <c r="AJ4" s="103"/>
      <c r="AK4" s="104"/>
      <c r="AL4" s="102">
        <v>0</v>
      </c>
      <c r="AM4" s="103"/>
      <c r="AN4" s="104"/>
      <c r="AO4" s="102">
        <v>0</v>
      </c>
      <c r="AP4" s="103"/>
      <c r="AQ4" s="104"/>
      <c r="AR4" s="102">
        <v>0</v>
      </c>
      <c r="AS4" s="103"/>
      <c r="AT4" s="104"/>
      <c r="AU4" s="102">
        <v>0</v>
      </c>
      <c r="AV4" s="103"/>
      <c r="AW4" s="104"/>
    </row>
    <row r="5" spans="1:49" x14ac:dyDescent="0.45">
      <c r="B5" s="79"/>
      <c r="C5" s="3" t="s">
        <v>34</v>
      </c>
      <c r="D5" s="4">
        <v>100</v>
      </c>
      <c r="E5" s="5" t="s">
        <v>3</v>
      </c>
      <c r="F5" s="5" t="s">
        <v>4</v>
      </c>
      <c r="G5" s="52">
        <v>1</v>
      </c>
      <c r="H5" s="105"/>
      <c r="I5" s="106"/>
      <c r="J5" s="107"/>
      <c r="K5" s="105"/>
      <c r="L5" s="106"/>
      <c r="M5" s="107"/>
      <c r="N5" s="105"/>
      <c r="O5" s="106"/>
      <c r="P5" s="107"/>
      <c r="Q5" s="105"/>
      <c r="R5" s="106"/>
      <c r="S5" s="107"/>
      <c r="T5" s="105"/>
      <c r="U5" s="106"/>
      <c r="V5" s="107"/>
      <c r="W5" s="105"/>
      <c r="X5" s="106"/>
      <c r="Y5" s="107"/>
      <c r="Z5" s="105"/>
      <c r="AA5" s="106"/>
      <c r="AB5" s="107"/>
      <c r="AC5" s="105"/>
      <c r="AD5" s="106"/>
      <c r="AE5" s="107"/>
      <c r="AF5" s="105"/>
      <c r="AG5" s="106"/>
      <c r="AH5" s="107"/>
      <c r="AI5" s="105"/>
      <c r="AJ5" s="106"/>
      <c r="AK5" s="107"/>
      <c r="AL5" s="105"/>
      <c r="AM5" s="106"/>
      <c r="AN5" s="107"/>
      <c r="AO5" s="105"/>
      <c r="AP5" s="106"/>
      <c r="AQ5" s="107"/>
      <c r="AR5" s="105"/>
      <c r="AS5" s="106"/>
      <c r="AT5" s="107"/>
      <c r="AU5" s="105"/>
      <c r="AV5" s="106"/>
      <c r="AW5" s="107"/>
    </row>
    <row r="6" spans="1:49" ht="33" x14ac:dyDescent="0.45">
      <c r="B6" s="79"/>
      <c r="C6" s="3" t="s">
        <v>35</v>
      </c>
      <c r="D6" s="4">
        <v>25</v>
      </c>
      <c r="E6" s="5" t="s">
        <v>3</v>
      </c>
      <c r="F6" s="5" t="s">
        <v>4</v>
      </c>
      <c r="G6" s="52">
        <v>1</v>
      </c>
      <c r="H6" s="105"/>
      <c r="I6" s="106"/>
      <c r="J6" s="107"/>
      <c r="K6" s="105"/>
      <c r="L6" s="106"/>
      <c r="M6" s="107"/>
      <c r="N6" s="105"/>
      <c r="O6" s="106"/>
      <c r="P6" s="107"/>
      <c r="Q6" s="105"/>
      <c r="R6" s="106"/>
      <c r="S6" s="107"/>
      <c r="T6" s="105"/>
      <c r="U6" s="106"/>
      <c r="V6" s="107"/>
      <c r="W6" s="105"/>
      <c r="X6" s="106"/>
      <c r="Y6" s="107"/>
      <c r="Z6" s="105"/>
      <c r="AA6" s="106"/>
      <c r="AB6" s="107"/>
      <c r="AC6" s="105"/>
      <c r="AD6" s="106"/>
      <c r="AE6" s="107"/>
      <c r="AF6" s="105"/>
      <c r="AG6" s="106"/>
      <c r="AH6" s="107"/>
      <c r="AI6" s="105"/>
      <c r="AJ6" s="106"/>
      <c r="AK6" s="107"/>
      <c r="AL6" s="105"/>
      <c r="AM6" s="106"/>
      <c r="AN6" s="107"/>
      <c r="AO6" s="105"/>
      <c r="AP6" s="106"/>
      <c r="AQ6" s="107"/>
      <c r="AR6" s="105"/>
      <c r="AS6" s="106"/>
      <c r="AT6" s="107"/>
      <c r="AU6" s="105"/>
      <c r="AV6" s="106"/>
      <c r="AW6" s="107"/>
    </row>
    <row r="7" spans="1:49" x14ac:dyDescent="0.45">
      <c r="B7" s="79"/>
      <c r="C7" s="3" t="s">
        <v>36</v>
      </c>
      <c r="D7" s="4">
        <v>25</v>
      </c>
      <c r="E7" s="5" t="s">
        <v>3</v>
      </c>
      <c r="F7" s="5" t="s">
        <v>4</v>
      </c>
      <c r="G7" s="52">
        <v>1</v>
      </c>
      <c r="H7" s="105"/>
      <c r="I7" s="106"/>
      <c r="J7" s="107"/>
      <c r="K7" s="105"/>
      <c r="L7" s="106"/>
      <c r="M7" s="107"/>
      <c r="N7" s="105"/>
      <c r="O7" s="106"/>
      <c r="P7" s="107"/>
      <c r="Q7" s="105"/>
      <c r="R7" s="106"/>
      <c r="S7" s="107"/>
      <c r="T7" s="105"/>
      <c r="U7" s="106"/>
      <c r="V7" s="107"/>
      <c r="W7" s="105"/>
      <c r="X7" s="106"/>
      <c r="Y7" s="107"/>
      <c r="Z7" s="105"/>
      <c r="AA7" s="106"/>
      <c r="AB7" s="107"/>
      <c r="AC7" s="105"/>
      <c r="AD7" s="106"/>
      <c r="AE7" s="107"/>
      <c r="AF7" s="105"/>
      <c r="AG7" s="106"/>
      <c r="AH7" s="107"/>
      <c r="AI7" s="105"/>
      <c r="AJ7" s="106"/>
      <c r="AK7" s="107"/>
      <c r="AL7" s="105"/>
      <c r="AM7" s="106"/>
      <c r="AN7" s="107"/>
      <c r="AO7" s="105"/>
      <c r="AP7" s="106"/>
      <c r="AQ7" s="107"/>
      <c r="AR7" s="105"/>
      <c r="AS7" s="106"/>
      <c r="AT7" s="107"/>
      <c r="AU7" s="105"/>
      <c r="AV7" s="106"/>
      <c r="AW7" s="107"/>
    </row>
    <row r="8" spans="1:49" ht="33" x14ac:dyDescent="0.45">
      <c r="B8" s="80"/>
      <c r="C8" s="6" t="s">
        <v>37</v>
      </c>
      <c r="D8" s="7">
        <v>200</v>
      </c>
      <c r="E8" s="8" t="s">
        <v>3</v>
      </c>
      <c r="F8" s="8" t="s">
        <v>4</v>
      </c>
      <c r="G8" s="53">
        <v>1</v>
      </c>
      <c r="H8" s="108"/>
      <c r="I8" s="109"/>
      <c r="J8" s="110"/>
      <c r="K8" s="108"/>
      <c r="L8" s="109"/>
      <c r="M8" s="110"/>
      <c r="N8" s="108"/>
      <c r="O8" s="109"/>
      <c r="P8" s="110"/>
      <c r="Q8" s="108"/>
      <c r="R8" s="109"/>
      <c r="S8" s="110"/>
      <c r="T8" s="108"/>
      <c r="U8" s="109"/>
      <c r="V8" s="110"/>
      <c r="W8" s="108"/>
      <c r="X8" s="109"/>
      <c r="Y8" s="110"/>
      <c r="Z8" s="108"/>
      <c r="AA8" s="109"/>
      <c r="AB8" s="110"/>
      <c r="AC8" s="108"/>
      <c r="AD8" s="109"/>
      <c r="AE8" s="110"/>
      <c r="AF8" s="108"/>
      <c r="AG8" s="109"/>
      <c r="AH8" s="110"/>
      <c r="AI8" s="108"/>
      <c r="AJ8" s="109"/>
      <c r="AK8" s="110"/>
      <c r="AL8" s="108"/>
      <c r="AM8" s="109"/>
      <c r="AN8" s="110"/>
      <c r="AO8" s="108"/>
      <c r="AP8" s="109"/>
      <c r="AQ8" s="110"/>
      <c r="AR8" s="108"/>
      <c r="AS8" s="109"/>
      <c r="AT8" s="110"/>
      <c r="AU8" s="108"/>
      <c r="AV8" s="109"/>
      <c r="AW8" s="110"/>
    </row>
    <row r="9" spans="1:49" x14ac:dyDescent="0.45">
      <c r="B9" s="81" t="s">
        <v>42</v>
      </c>
      <c r="C9" s="45" t="s">
        <v>13</v>
      </c>
      <c r="D9" s="46">
        <v>2</v>
      </c>
      <c r="E9" s="47" t="s">
        <v>5</v>
      </c>
      <c r="F9" s="47" t="s">
        <v>6</v>
      </c>
      <c r="G9" s="57">
        <v>1</v>
      </c>
      <c r="H9" s="111"/>
      <c r="I9" s="112"/>
      <c r="J9" s="113"/>
      <c r="K9" s="111"/>
      <c r="L9" s="112"/>
      <c r="M9" s="113"/>
      <c r="N9" s="111"/>
      <c r="O9" s="112"/>
      <c r="P9" s="113"/>
      <c r="Q9" s="111"/>
      <c r="R9" s="112"/>
      <c r="S9" s="113"/>
      <c r="T9" s="111"/>
      <c r="U9" s="112"/>
      <c r="V9" s="113"/>
      <c r="W9" s="111"/>
      <c r="X9" s="112"/>
      <c r="Y9" s="113"/>
      <c r="Z9" s="111"/>
      <c r="AA9" s="112"/>
      <c r="AB9" s="113"/>
      <c r="AC9" s="111"/>
      <c r="AD9" s="112"/>
      <c r="AE9" s="113"/>
      <c r="AF9" s="111"/>
      <c r="AG9" s="112"/>
      <c r="AH9" s="113"/>
      <c r="AI9" s="111"/>
      <c r="AJ9" s="112"/>
      <c r="AK9" s="113"/>
      <c r="AL9" s="111"/>
      <c r="AM9" s="112"/>
      <c r="AN9" s="113"/>
      <c r="AO9" s="111"/>
      <c r="AP9" s="112"/>
      <c r="AQ9" s="113"/>
      <c r="AR9" s="111"/>
      <c r="AS9" s="112"/>
      <c r="AT9" s="113"/>
      <c r="AU9" s="111"/>
      <c r="AV9" s="112"/>
      <c r="AW9" s="113"/>
    </row>
    <row r="10" spans="1:49" x14ac:dyDescent="0.45">
      <c r="B10" s="79"/>
      <c r="C10" s="3" t="s">
        <v>14</v>
      </c>
      <c r="D10" s="4">
        <v>3</v>
      </c>
      <c r="E10" s="5" t="s">
        <v>5</v>
      </c>
      <c r="F10" s="5" t="s">
        <v>6</v>
      </c>
      <c r="G10" s="52">
        <v>1</v>
      </c>
      <c r="H10" s="105"/>
      <c r="I10" s="106"/>
      <c r="J10" s="107"/>
      <c r="K10" s="105"/>
      <c r="L10" s="106"/>
      <c r="M10" s="107"/>
      <c r="N10" s="105"/>
      <c r="O10" s="106"/>
      <c r="P10" s="107"/>
      <c r="Q10" s="105"/>
      <c r="R10" s="106"/>
      <c r="S10" s="107"/>
      <c r="T10" s="105"/>
      <c r="U10" s="106"/>
      <c r="V10" s="107"/>
      <c r="W10" s="105"/>
      <c r="X10" s="106"/>
      <c r="Y10" s="107"/>
      <c r="Z10" s="105"/>
      <c r="AA10" s="106"/>
      <c r="AB10" s="107"/>
      <c r="AC10" s="105"/>
      <c r="AD10" s="106"/>
      <c r="AE10" s="107"/>
      <c r="AF10" s="105"/>
      <c r="AG10" s="106"/>
      <c r="AH10" s="107"/>
      <c r="AI10" s="105"/>
      <c r="AJ10" s="106"/>
      <c r="AK10" s="107"/>
      <c r="AL10" s="105"/>
      <c r="AM10" s="106"/>
      <c r="AN10" s="107"/>
      <c r="AO10" s="105"/>
      <c r="AP10" s="106"/>
      <c r="AQ10" s="107"/>
      <c r="AR10" s="105"/>
      <c r="AS10" s="106"/>
      <c r="AT10" s="107"/>
      <c r="AU10" s="105"/>
      <c r="AV10" s="106"/>
      <c r="AW10" s="107"/>
    </row>
    <row r="11" spans="1:49" x14ac:dyDescent="0.45">
      <c r="B11" s="79"/>
      <c r="C11" s="3" t="s">
        <v>15</v>
      </c>
      <c r="D11" s="4">
        <v>0.5</v>
      </c>
      <c r="E11" s="5" t="s">
        <v>5</v>
      </c>
      <c r="F11" s="5" t="s">
        <v>8</v>
      </c>
      <c r="G11" s="52">
        <v>1</v>
      </c>
      <c r="H11" s="105"/>
      <c r="I11" s="106"/>
      <c r="J11" s="107"/>
      <c r="K11" s="105"/>
      <c r="L11" s="106"/>
      <c r="M11" s="107"/>
      <c r="N11" s="105"/>
      <c r="O11" s="106"/>
      <c r="P11" s="107"/>
      <c r="Q11" s="105"/>
      <c r="R11" s="106"/>
      <c r="S11" s="107"/>
      <c r="T11" s="105"/>
      <c r="U11" s="106"/>
      <c r="V11" s="107"/>
      <c r="W11" s="105"/>
      <c r="X11" s="106"/>
      <c r="Y11" s="107"/>
      <c r="Z11" s="105"/>
      <c r="AA11" s="106"/>
      <c r="AB11" s="107"/>
      <c r="AC11" s="105"/>
      <c r="AD11" s="106"/>
      <c r="AE11" s="107"/>
      <c r="AF11" s="105"/>
      <c r="AG11" s="106"/>
      <c r="AH11" s="107"/>
      <c r="AI11" s="105"/>
      <c r="AJ11" s="106"/>
      <c r="AK11" s="107"/>
      <c r="AL11" s="105"/>
      <c r="AM11" s="106"/>
      <c r="AN11" s="107"/>
      <c r="AO11" s="105"/>
      <c r="AP11" s="106"/>
      <c r="AQ11" s="107"/>
      <c r="AR11" s="105"/>
      <c r="AS11" s="106"/>
      <c r="AT11" s="107"/>
      <c r="AU11" s="105"/>
      <c r="AV11" s="106"/>
      <c r="AW11" s="107"/>
    </row>
    <row r="12" spans="1:49" x14ac:dyDescent="0.45">
      <c r="B12" s="79"/>
      <c r="C12" s="3" t="s">
        <v>16</v>
      </c>
      <c r="D12" s="4">
        <v>0.5</v>
      </c>
      <c r="E12" s="5" t="s">
        <v>5</v>
      </c>
      <c r="F12" s="5" t="s">
        <v>8</v>
      </c>
      <c r="G12" s="52">
        <v>1</v>
      </c>
      <c r="H12" s="105"/>
      <c r="I12" s="106"/>
      <c r="J12" s="107"/>
      <c r="K12" s="105"/>
      <c r="L12" s="106"/>
      <c r="M12" s="107"/>
      <c r="N12" s="105"/>
      <c r="O12" s="106"/>
      <c r="P12" s="107"/>
      <c r="Q12" s="105"/>
      <c r="R12" s="106"/>
      <c r="S12" s="107"/>
      <c r="T12" s="105"/>
      <c r="U12" s="106"/>
      <c r="V12" s="107"/>
      <c r="W12" s="105"/>
      <c r="X12" s="106"/>
      <c r="Y12" s="107"/>
      <c r="Z12" s="105"/>
      <c r="AA12" s="106"/>
      <c r="AB12" s="107"/>
      <c r="AC12" s="105"/>
      <c r="AD12" s="106"/>
      <c r="AE12" s="107"/>
      <c r="AF12" s="105"/>
      <c r="AG12" s="106"/>
      <c r="AH12" s="107"/>
      <c r="AI12" s="105"/>
      <c r="AJ12" s="106"/>
      <c r="AK12" s="107"/>
      <c r="AL12" s="105"/>
      <c r="AM12" s="106"/>
      <c r="AN12" s="107"/>
      <c r="AO12" s="105"/>
      <c r="AP12" s="106"/>
      <c r="AQ12" s="107"/>
      <c r="AR12" s="105"/>
      <c r="AS12" s="106"/>
      <c r="AT12" s="107"/>
      <c r="AU12" s="105"/>
      <c r="AV12" s="106"/>
      <c r="AW12" s="107"/>
    </row>
    <row r="13" spans="1:49" x14ac:dyDescent="0.45">
      <c r="B13" s="79"/>
      <c r="C13" s="3" t="s">
        <v>17</v>
      </c>
      <c r="D13" s="4">
        <v>10</v>
      </c>
      <c r="E13" s="5" t="s">
        <v>9</v>
      </c>
      <c r="F13" s="5" t="s">
        <v>10</v>
      </c>
      <c r="G13" s="52">
        <v>1</v>
      </c>
      <c r="H13" s="105"/>
      <c r="I13" s="106"/>
      <c r="J13" s="107"/>
      <c r="K13" s="105"/>
      <c r="L13" s="106"/>
      <c r="M13" s="107"/>
      <c r="N13" s="105"/>
      <c r="O13" s="106"/>
      <c r="P13" s="107"/>
      <c r="Q13" s="105"/>
      <c r="R13" s="106"/>
      <c r="S13" s="107"/>
      <c r="T13" s="105"/>
      <c r="U13" s="106"/>
      <c r="V13" s="107"/>
      <c r="W13" s="105"/>
      <c r="X13" s="106"/>
      <c r="Y13" s="107"/>
      <c r="Z13" s="105"/>
      <c r="AA13" s="106"/>
      <c r="AB13" s="107"/>
      <c r="AC13" s="105"/>
      <c r="AD13" s="106"/>
      <c r="AE13" s="107"/>
      <c r="AF13" s="105"/>
      <c r="AG13" s="106"/>
      <c r="AH13" s="107"/>
      <c r="AI13" s="105"/>
      <c r="AJ13" s="106"/>
      <c r="AK13" s="107"/>
      <c r="AL13" s="105"/>
      <c r="AM13" s="106"/>
      <c r="AN13" s="107"/>
      <c r="AO13" s="105"/>
      <c r="AP13" s="106"/>
      <c r="AQ13" s="107"/>
      <c r="AR13" s="105"/>
      <c r="AS13" s="106"/>
      <c r="AT13" s="107"/>
      <c r="AU13" s="105"/>
      <c r="AV13" s="106"/>
      <c r="AW13" s="107"/>
    </row>
    <row r="14" spans="1:49" x14ac:dyDescent="0.45">
      <c r="B14" s="79"/>
      <c r="C14" s="3" t="s">
        <v>18</v>
      </c>
      <c r="D14" s="4">
        <v>20</v>
      </c>
      <c r="E14" s="5" t="s">
        <v>9</v>
      </c>
      <c r="F14" s="5" t="s">
        <v>10</v>
      </c>
      <c r="G14" s="52">
        <v>1</v>
      </c>
      <c r="H14" s="105"/>
      <c r="I14" s="106"/>
      <c r="J14" s="107"/>
      <c r="K14" s="105"/>
      <c r="L14" s="106"/>
      <c r="M14" s="107"/>
      <c r="N14" s="105"/>
      <c r="O14" s="106"/>
      <c r="P14" s="107"/>
      <c r="Q14" s="105"/>
      <c r="R14" s="106"/>
      <c r="S14" s="107"/>
      <c r="T14" s="105"/>
      <c r="U14" s="106"/>
      <c r="V14" s="107"/>
      <c r="W14" s="105"/>
      <c r="X14" s="106"/>
      <c r="Y14" s="107"/>
      <c r="Z14" s="105"/>
      <c r="AA14" s="106"/>
      <c r="AB14" s="107"/>
      <c r="AC14" s="105"/>
      <c r="AD14" s="106"/>
      <c r="AE14" s="107"/>
      <c r="AF14" s="105"/>
      <c r="AG14" s="106"/>
      <c r="AH14" s="107"/>
      <c r="AI14" s="105"/>
      <c r="AJ14" s="106"/>
      <c r="AK14" s="107"/>
      <c r="AL14" s="105"/>
      <c r="AM14" s="106"/>
      <c r="AN14" s="107"/>
      <c r="AO14" s="105"/>
      <c r="AP14" s="106"/>
      <c r="AQ14" s="107"/>
      <c r="AR14" s="105"/>
      <c r="AS14" s="106"/>
      <c r="AT14" s="107"/>
      <c r="AU14" s="105"/>
      <c r="AV14" s="106"/>
      <c r="AW14" s="107"/>
    </row>
    <row r="15" spans="1:49" x14ac:dyDescent="0.45">
      <c r="B15" s="79"/>
      <c r="C15" s="3" t="s">
        <v>19</v>
      </c>
      <c r="D15" s="4">
        <v>1000</v>
      </c>
      <c r="E15" s="5" t="s">
        <v>7</v>
      </c>
      <c r="F15" s="5"/>
      <c r="G15" s="52">
        <v>1</v>
      </c>
      <c r="H15" s="105"/>
      <c r="I15" s="106"/>
      <c r="J15" s="107"/>
      <c r="K15" s="105"/>
      <c r="L15" s="106"/>
      <c r="M15" s="107"/>
      <c r="N15" s="105"/>
      <c r="O15" s="106"/>
      <c r="P15" s="107"/>
      <c r="Q15" s="105"/>
      <c r="R15" s="106"/>
      <c r="S15" s="107"/>
      <c r="T15" s="105"/>
      <c r="U15" s="106"/>
      <c r="V15" s="107"/>
      <c r="W15" s="105"/>
      <c r="X15" s="106"/>
      <c r="Y15" s="107"/>
      <c r="Z15" s="105"/>
      <c r="AA15" s="106"/>
      <c r="AB15" s="107"/>
      <c r="AC15" s="105"/>
      <c r="AD15" s="106"/>
      <c r="AE15" s="107"/>
      <c r="AF15" s="105"/>
      <c r="AG15" s="106"/>
      <c r="AH15" s="107"/>
      <c r="AI15" s="105"/>
      <c r="AJ15" s="106"/>
      <c r="AK15" s="107"/>
      <c r="AL15" s="105"/>
      <c r="AM15" s="106"/>
      <c r="AN15" s="107"/>
      <c r="AO15" s="105"/>
      <c r="AP15" s="106"/>
      <c r="AQ15" s="107"/>
      <c r="AR15" s="105"/>
      <c r="AS15" s="106"/>
      <c r="AT15" s="107"/>
      <c r="AU15" s="105"/>
      <c r="AV15" s="106"/>
      <c r="AW15" s="107"/>
    </row>
    <row r="16" spans="1:49" ht="33" x14ac:dyDescent="0.45">
      <c r="B16" s="79"/>
      <c r="C16" s="3" t="s">
        <v>40</v>
      </c>
      <c r="D16" s="4">
        <v>2</v>
      </c>
      <c r="E16" s="5" t="s">
        <v>7</v>
      </c>
      <c r="F16" s="5"/>
      <c r="G16" s="52">
        <v>1</v>
      </c>
      <c r="H16" s="105"/>
      <c r="I16" s="106"/>
      <c r="J16" s="107"/>
      <c r="K16" s="105"/>
      <c r="L16" s="106"/>
      <c r="M16" s="107"/>
      <c r="N16" s="105"/>
      <c r="O16" s="106"/>
      <c r="P16" s="107"/>
      <c r="Q16" s="105"/>
      <c r="R16" s="106"/>
      <c r="S16" s="107"/>
      <c r="T16" s="105"/>
      <c r="U16" s="106"/>
      <c r="V16" s="107"/>
      <c r="W16" s="105"/>
      <c r="X16" s="106"/>
      <c r="Y16" s="107"/>
      <c r="Z16" s="105"/>
      <c r="AA16" s="106"/>
      <c r="AB16" s="107"/>
      <c r="AC16" s="105"/>
      <c r="AD16" s="106"/>
      <c r="AE16" s="107"/>
      <c r="AF16" s="105"/>
      <c r="AG16" s="106"/>
      <c r="AH16" s="107"/>
      <c r="AI16" s="105"/>
      <c r="AJ16" s="106"/>
      <c r="AK16" s="107"/>
      <c r="AL16" s="105"/>
      <c r="AM16" s="106"/>
      <c r="AN16" s="107"/>
      <c r="AO16" s="105"/>
      <c r="AP16" s="106"/>
      <c r="AQ16" s="107"/>
      <c r="AR16" s="105"/>
      <c r="AS16" s="106"/>
      <c r="AT16" s="107"/>
      <c r="AU16" s="105"/>
      <c r="AV16" s="106"/>
      <c r="AW16" s="107"/>
    </row>
    <row r="17" spans="2:49" ht="33" x14ac:dyDescent="0.45">
      <c r="B17" s="79"/>
      <c r="C17" s="3" t="s">
        <v>41</v>
      </c>
      <c r="D17" s="4">
        <v>2</v>
      </c>
      <c r="E17" s="5" t="s">
        <v>7</v>
      </c>
      <c r="F17" s="5"/>
      <c r="G17" s="52">
        <v>1</v>
      </c>
      <c r="H17" s="105"/>
      <c r="I17" s="106"/>
      <c r="J17" s="107"/>
      <c r="K17" s="105"/>
      <c r="L17" s="106"/>
      <c r="M17" s="107"/>
      <c r="N17" s="105"/>
      <c r="O17" s="106"/>
      <c r="P17" s="107"/>
      <c r="Q17" s="105"/>
      <c r="R17" s="106"/>
      <c r="S17" s="107"/>
      <c r="T17" s="105"/>
      <c r="U17" s="106"/>
      <c r="V17" s="107"/>
      <c r="W17" s="105"/>
      <c r="X17" s="106"/>
      <c r="Y17" s="107"/>
      <c r="Z17" s="105"/>
      <c r="AA17" s="106"/>
      <c r="AB17" s="107"/>
      <c r="AC17" s="105"/>
      <c r="AD17" s="106"/>
      <c r="AE17" s="107"/>
      <c r="AF17" s="105"/>
      <c r="AG17" s="106"/>
      <c r="AH17" s="107"/>
      <c r="AI17" s="105"/>
      <c r="AJ17" s="106"/>
      <c r="AK17" s="107"/>
      <c r="AL17" s="105"/>
      <c r="AM17" s="106"/>
      <c r="AN17" s="107"/>
      <c r="AO17" s="105"/>
      <c r="AP17" s="106"/>
      <c r="AQ17" s="107"/>
      <c r="AR17" s="105"/>
      <c r="AS17" s="106"/>
      <c r="AT17" s="107"/>
      <c r="AU17" s="105"/>
      <c r="AV17" s="106"/>
      <c r="AW17" s="107"/>
    </row>
    <row r="18" spans="2:49" x14ac:dyDescent="0.45">
      <c r="B18" s="82"/>
      <c r="C18" s="65" t="s">
        <v>70</v>
      </c>
      <c r="D18" s="66" t="s">
        <v>71</v>
      </c>
      <c r="E18" s="67"/>
      <c r="F18" s="67"/>
      <c r="G18" s="68"/>
      <c r="H18" s="114"/>
      <c r="I18" s="115"/>
      <c r="J18" s="116"/>
      <c r="K18" s="114"/>
      <c r="L18" s="115"/>
      <c r="M18" s="116"/>
      <c r="N18" s="114"/>
      <c r="O18" s="115"/>
      <c r="P18" s="116"/>
      <c r="Q18" s="114"/>
      <c r="R18" s="115"/>
      <c r="S18" s="116"/>
      <c r="T18" s="114"/>
      <c r="U18" s="115"/>
      <c r="V18" s="116"/>
      <c r="W18" s="114"/>
      <c r="X18" s="115"/>
      <c r="Y18" s="116"/>
      <c r="Z18" s="114"/>
      <c r="AA18" s="115"/>
      <c r="AB18" s="116"/>
      <c r="AC18" s="114"/>
      <c r="AD18" s="115"/>
      <c r="AE18" s="116"/>
      <c r="AF18" s="114"/>
      <c r="AG18" s="115"/>
      <c r="AH18" s="116"/>
      <c r="AI18" s="114"/>
      <c r="AJ18" s="115"/>
      <c r="AK18" s="116"/>
      <c r="AL18" s="114"/>
      <c r="AM18" s="115"/>
      <c r="AN18" s="116"/>
      <c r="AO18" s="114"/>
      <c r="AP18" s="115"/>
      <c r="AQ18" s="116"/>
      <c r="AR18" s="114"/>
      <c r="AS18" s="115"/>
      <c r="AT18" s="116"/>
      <c r="AU18" s="114"/>
      <c r="AV18" s="115"/>
      <c r="AW18" s="116"/>
    </row>
    <row r="19" spans="2:49" x14ac:dyDescent="0.45">
      <c r="B19" s="80"/>
      <c r="C19" s="6"/>
      <c r="D19" s="7"/>
      <c r="E19" s="8"/>
      <c r="F19" s="8"/>
      <c r="G19" s="53"/>
      <c r="H19" s="108"/>
      <c r="I19" s="109"/>
      <c r="J19" s="110"/>
      <c r="K19" s="108"/>
      <c r="L19" s="109"/>
      <c r="M19" s="110"/>
      <c r="N19" s="108"/>
      <c r="O19" s="109"/>
      <c r="P19" s="110"/>
      <c r="Q19" s="108"/>
      <c r="R19" s="109"/>
      <c r="S19" s="110"/>
      <c r="T19" s="108"/>
      <c r="U19" s="109"/>
      <c r="V19" s="110"/>
      <c r="W19" s="108"/>
      <c r="X19" s="109"/>
      <c r="Y19" s="110"/>
      <c r="Z19" s="108"/>
      <c r="AA19" s="109"/>
      <c r="AB19" s="110"/>
      <c r="AC19" s="108"/>
      <c r="AD19" s="109"/>
      <c r="AE19" s="110"/>
      <c r="AF19" s="108"/>
      <c r="AG19" s="109"/>
      <c r="AH19" s="110"/>
      <c r="AI19" s="108"/>
      <c r="AJ19" s="109"/>
      <c r="AK19" s="110"/>
      <c r="AL19" s="108"/>
      <c r="AM19" s="109"/>
      <c r="AN19" s="110"/>
      <c r="AO19" s="108"/>
      <c r="AP19" s="109"/>
      <c r="AQ19" s="110"/>
      <c r="AR19" s="108"/>
      <c r="AS19" s="109"/>
      <c r="AT19" s="110"/>
      <c r="AU19" s="108"/>
      <c r="AV19" s="109"/>
      <c r="AW19" s="110"/>
    </row>
    <row r="20" spans="2:49" ht="17.2" customHeight="1" x14ac:dyDescent="0.45">
      <c r="B20" s="86" t="s">
        <v>75</v>
      </c>
      <c r="C20" s="86"/>
      <c r="D20" s="86"/>
      <c r="E20" s="86"/>
      <c r="F20" s="86"/>
      <c r="G20" s="86"/>
      <c r="H20" s="77">
        <f>AVERAGE(H4:H19)</f>
        <v>0</v>
      </c>
      <c r="I20" s="77"/>
      <c r="J20" s="77"/>
      <c r="K20" s="77">
        <f>AVERAGE(K4:K19)</f>
        <v>0</v>
      </c>
      <c r="L20" s="77"/>
      <c r="M20" s="77"/>
      <c r="N20" s="77">
        <f>AVERAGE(N4:N19)</f>
        <v>0</v>
      </c>
      <c r="O20" s="77"/>
      <c r="P20" s="77"/>
      <c r="Q20" s="77">
        <f>AVERAGE(Q4:Q19)</f>
        <v>0</v>
      </c>
      <c r="R20" s="77"/>
      <c r="S20" s="77"/>
      <c r="T20" s="77">
        <f>AVERAGE(T4:T19)</f>
        <v>0</v>
      </c>
      <c r="U20" s="77"/>
      <c r="V20" s="77"/>
      <c r="W20" s="77">
        <f>AVERAGE(W4:W19)</f>
        <v>0</v>
      </c>
      <c r="X20" s="77"/>
      <c r="Y20" s="77"/>
      <c r="Z20" s="77">
        <f>AVERAGE(Z4:Z19)</f>
        <v>0</v>
      </c>
      <c r="AA20" s="77"/>
      <c r="AB20" s="77"/>
      <c r="AC20" s="77">
        <f>AVERAGE(AC4:AC19)</f>
        <v>0</v>
      </c>
      <c r="AD20" s="77"/>
      <c r="AE20" s="77"/>
      <c r="AF20" s="77">
        <f>AVERAGE(AF4:AF19)</f>
        <v>0</v>
      </c>
      <c r="AG20" s="77"/>
      <c r="AH20" s="77"/>
      <c r="AI20" s="77">
        <f>AVERAGE(AI4:AI19)</f>
        <v>0</v>
      </c>
      <c r="AJ20" s="77"/>
      <c r="AK20" s="77"/>
      <c r="AL20" s="77">
        <f>AVERAGE(AL4:AL19)</f>
        <v>0</v>
      </c>
      <c r="AM20" s="77"/>
      <c r="AN20" s="77"/>
      <c r="AO20" s="77">
        <f>AVERAGE(AO4:AO19)</f>
        <v>0</v>
      </c>
      <c r="AP20" s="77"/>
      <c r="AQ20" s="77"/>
      <c r="AR20" s="77">
        <f>AVERAGE(AR4:AR19)</f>
        <v>0</v>
      </c>
      <c r="AS20" s="77"/>
      <c r="AT20" s="77"/>
      <c r="AU20" s="77">
        <f>AVERAGE(AU4:AU19)</f>
        <v>0</v>
      </c>
      <c r="AV20" s="77"/>
      <c r="AW20" s="77"/>
    </row>
    <row r="21" spans="2:49" ht="17.2" customHeight="1" x14ac:dyDescent="0.45">
      <c r="B21" s="1" t="s">
        <v>64</v>
      </c>
      <c r="C21" s="1"/>
      <c r="D21" s="1"/>
      <c r="E21" s="1"/>
      <c r="F21" s="1"/>
      <c r="G21" s="1"/>
      <c r="H21" s="28"/>
      <c r="I21" s="36"/>
      <c r="K21" s="28"/>
      <c r="L21" s="36"/>
      <c r="N21" s="28"/>
      <c r="O21" s="36"/>
      <c r="Q21" s="28"/>
      <c r="R21" s="36"/>
      <c r="T21" s="28"/>
      <c r="U21" s="36"/>
      <c r="W21" s="28"/>
      <c r="X21" s="36"/>
      <c r="Z21" s="28"/>
      <c r="AA21" s="36"/>
      <c r="AC21" s="28"/>
      <c r="AD21" s="36"/>
      <c r="AF21" s="28"/>
      <c r="AG21" s="36"/>
      <c r="AI21" s="28"/>
      <c r="AJ21" s="36"/>
      <c r="AL21" s="28"/>
      <c r="AM21" s="36"/>
      <c r="AO21" s="28"/>
      <c r="AP21" s="36"/>
      <c r="AR21" s="28"/>
      <c r="AS21" s="36"/>
      <c r="AU21" s="28"/>
      <c r="AV21" s="36"/>
    </row>
    <row r="22" spans="2:49" x14ac:dyDescent="0.45">
      <c r="C22" s="1"/>
      <c r="D22" s="1"/>
      <c r="E22" s="1"/>
      <c r="F22" s="1"/>
      <c r="G22" s="1"/>
    </row>
    <row r="23" spans="2:49" x14ac:dyDescent="0.45">
      <c r="C23" s="1"/>
      <c r="D23" s="1"/>
      <c r="E23" s="1"/>
      <c r="F23" s="1"/>
      <c r="G23" s="1"/>
    </row>
    <row r="30" spans="2:49" s="1" customFormat="1" x14ac:dyDescent="0.45">
      <c r="C30" s="2"/>
      <c r="D30" s="2"/>
      <c r="E30" s="2"/>
      <c r="F30" s="2"/>
      <c r="I30" s="37"/>
      <c r="L30" s="37"/>
      <c r="O30" s="37"/>
      <c r="R30" s="37"/>
      <c r="U30" s="37"/>
      <c r="X30" s="37"/>
      <c r="AA30" s="37"/>
      <c r="AD30" s="37"/>
      <c r="AG30" s="37"/>
      <c r="AJ30" s="37"/>
      <c r="AM30" s="37"/>
      <c r="AP30" s="37"/>
      <c r="AS30" s="37"/>
      <c r="AV30" s="37"/>
    </row>
    <row r="31" spans="2:49" s="1" customFormat="1" x14ac:dyDescent="0.45">
      <c r="C31" s="2"/>
      <c r="D31" s="2"/>
      <c r="E31" s="2"/>
      <c r="F31" s="2"/>
      <c r="I31" s="37"/>
      <c r="L31" s="37"/>
      <c r="O31" s="37"/>
      <c r="R31" s="37"/>
      <c r="U31" s="37"/>
      <c r="X31" s="37"/>
      <c r="AA31" s="37"/>
      <c r="AD31" s="37"/>
      <c r="AG31" s="37"/>
      <c r="AJ31" s="37"/>
      <c r="AM31" s="37"/>
      <c r="AP31" s="37"/>
      <c r="AS31" s="37"/>
      <c r="AV31" s="37"/>
    </row>
    <row r="32" spans="2:49" s="1" customFormat="1" x14ac:dyDescent="0.45">
      <c r="C32" s="2"/>
      <c r="D32" s="2"/>
      <c r="E32" s="2"/>
      <c r="F32" s="2"/>
      <c r="I32" s="37"/>
      <c r="L32" s="37"/>
      <c r="O32" s="37"/>
      <c r="R32" s="37"/>
      <c r="U32" s="37"/>
      <c r="X32" s="37"/>
      <c r="AA32" s="37"/>
      <c r="AD32" s="37"/>
      <c r="AG32" s="37"/>
      <c r="AJ32" s="37"/>
      <c r="AM32" s="37"/>
      <c r="AP32" s="37"/>
      <c r="AS32" s="37"/>
      <c r="AV32" s="37"/>
    </row>
    <row r="33" spans="3:48" s="1" customFormat="1" x14ac:dyDescent="0.45">
      <c r="C33" s="2"/>
      <c r="D33" s="2"/>
      <c r="E33" s="2"/>
      <c r="F33" s="2"/>
      <c r="I33" s="37"/>
      <c r="L33" s="37"/>
      <c r="O33" s="37"/>
      <c r="R33" s="37"/>
      <c r="U33" s="37"/>
      <c r="X33" s="37"/>
      <c r="AA33" s="37"/>
      <c r="AD33" s="37"/>
      <c r="AG33" s="37"/>
      <c r="AJ33" s="37"/>
      <c r="AM33" s="37"/>
      <c r="AP33" s="37"/>
      <c r="AS33" s="37"/>
      <c r="AV33" s="37"/>
    </row>
    <row r="34" spans="3:48" s="1" customFormat="1" x14ac:dyDescent="0.45">
      <c r="C34" s="2"/>
      <c r="D34" s="2"/>
      <c r="E34" s="2"/>
      <c r="F34" s="2"/>
      <c r="I34" s="37"/>
      <c r="L34" s="37"/>
      <c r="O34" s="37"/>
      <c r="R34" s="37"/>
      <c r="U34" s="37"/>
      <c r="X34" s="37"/>
      <c r="AA34" s="37"/>
      <c r="AD34" s="37"/>
      <c r="AG34" s="37"/>
      <c r="AJ34" s="37"/>
      <c r="AM34" s="37"/>
      <c r="AP34" s="37"/>
      <c r="AS34" s="37"/>
      <c r="AV34" s="37"/>
    </row>
    <row r="35" spans="3:48" s="1" customFormat="1" x14ac:dyDescent="0.45">
      <c r="C35" s="2"/>
      <c r="D35" s="2"/>
      <c r="E35" s="2"/>
      <c r="F35" s="2"/>
      <c r="I35" s="37"/>
      <c r="L35" s="37"/>
      <c r="O35" s="37"/>
      <c r="R35" s="37"/>
      <c r="U35" s="37"/>
      <c r="X35" s="37"/>
      <c r="AA35" s="37"/>
      <c r="AD35" s="37"/>
      <c r="AG35" s="37"/>
      <c r="AJ35" s="37"/>
      <c r="AM35" s="37"/>
      <c r="AP35" s="37"/>
      <c r="AS35" s="37"/>
      <c r="AV35" s="37"/>
    </row>
    <row r="36" spans="3:48" s="1" customFormat="1" x14ac:dyDescent="0.45">
      <c r="C36" s="2"/>
      <c r="D36" s="2"/>
      <c r="E36" s="2"/>
      <c r="F36" s="2"/>
      <c r="I36" s="37"/>
      <c r="L36" s="37"/>
      <c r="O36" s="37"/>
      <c r="R36" s="37"/>
      <c r="U36" s="37"/>
      <c r="X36" s="37"/>
      <c r="AA36" s="37"/>
      <c r="AD36" s="37"/>
      <c r="AG36" s="37"/>
      <c r="AJ36" s="37"/>
      <c r="AM36" s="37"/>
      <c r="AP36" s="37"/>
      <c r="AS36" s="37"/>
      <c r="AV36" s="37"/>
    </row>
    <row r="37" spans="3:48" s="1" customFormat="1" x14ac:dyDescent="0.45">
      <c r="C37" s="2"/>
      <c r="D37" s="2"/>
      <c r="E37" s="2"/>
      <c r="F37" s="2"/>
      <c r="I37" s="37"/>
      <c r="L37" s="37"/>
      <c r="O37" s="37"/>
      <c r="R37" s="37"/>
      <c r="U37" s="37"/>
      <c r="X37" s="37"/>
      <c r="AA37" s="37"/>
      <c r="AD37" s="37"/>
      <c r="AG37" s="37"/>
      <c r="AJ37" s="37"/>
      <c r="AM37" s="37"/>
      <c r="AP37" s="37"/>
      <c r="AS37" s="37"/>
      <c r="AV37" s="37"/>
    </row>
    <row r="38" spans="3:48" s="1" customFormat="1" x14ac:dyDescent="0.45">
      <c r="C38" s="2"/>
      <c r="D38" s="2"/>
      <c r="E38" s="2"/>
      <c r="F38" s="2"/>
      <c r="I38" s="37"/>
      <c r="L38" s="37"/>
      <c r="O38" s="37"/>
      <c r="R38" s="37"/>
      <c r="U38" s="37"/>
      <c r="X38" s="37"/>
      <c r="AA38" s="37"/>
      <c r="AD38" s="37"/>
      <c r="AG38" s="37"/>
      <c r="AJ38" s="37"/>
      <c r="AM38" s="37"/>
      <c r="AP38" s="37"/>
      <c r="AS38" s="37"/>
      <c r="AV38" s="37"/>
    </row>
    <row r="39" spans="3:48" s="1" customFormat="1" x14ac:dyDescent="0.45">
      <c r="C39" s="2"/>
      <c r="D39" s="2"/>
      <c r="E39" s="2"/>
      <c r="F39" s="2"/>
      <c r="I39" s="37"/>
      <c r="L39" s="37"/>
      <c r="O39" s="37"/>
      <c r="R39" s="37"/>
      <c r="U39" s="37"/>
      <c r="X39" s="37"/>
      <c r="AA39" s="37"/>
      <c r="AD39" s="37"/>
      <c r="AG39" s="37"/>
      <c r="AJ39" s="37"/>
      <c r="AM39" s="37"/>
      <c r="AP39" s="37"/>
      <c r="AS39" s="37"/>
      <c r="AV39" s="37"/>
    </row>
    <row r="40" spans="3:48" s="1" customFormat="1" x14ac:dyDescent="0.45">
      <c r="C40" s="2"/>
      <c r="D40" s="2"/>
      <c r="E40" s="2"/>
      <c r="F40" s="2"/>
      <c r="I40" s="37"/>
      <c r="L40" s="37"/>
      <c r="O40" s="37"/>
      <c r="R40" s="37"/>
      <c r="U40" s="37"/>
      <c r="X40" s="37"/>
      <c r="AA40" s="37"/>
      <c r="AD40" s="37"/>
      <c r="AG40" s="37"/>
      <c r="AJ40" s="37"/>
      <c r="AM40" s="37"/>
      <c r="AP40" s="37"/>
      <c r="AS40" s="37"/>
      <c r="AV40" s="37"/>
    </row>
    <row r="41" spans="3:48" s="1" customFormat="1" x14ac:dyDescent="0.45">
      <c r="C41" s="2"/>
      <c r="D41" s="2"/>
      <c r="E41" s="2"/>
      <c r="F41" s="2"/>
      <c r="I41" s="37"/>
      <c r="L41" s="37"/>
      <c r="O41" s="37"/>
      <c r="R41" s="37"/>
      <c r="U41" s="37"/>
      <c r="X41" s="37"/>
      <c r="AA41" s="37"/>
      <c r="AD41" s="37"/>
      <c r="AG41" s="37"/>
      <c r="AJ41" s="37"/>
      <c r="AM41" s="37"/>
      <c r="AP41" s="37"/>
      <c r="AS41" s="37"/>
      <c r="AV41" s="37"/>
    </row>
    <row r="42" spans="3:48" s="1" customFormat="1" x14ac:dyDescent="0.45">
      <c r="C42" s="2"/>
      <c r="D42" s="2"/>
      <c r="E42" s="2"/>
      <c r="F42" s="2"/>
      <c r="I42" s="37"/>
      <c r="L42" s="37"/>
      <c r="O42" s="37"/>
      <c r="R42" s="37"/>
      <c r="U42" s="37"/>
      <c r="X42" s="37"/>
      <c r="AA42" s="37"/>
      <c r="AD42" s="37"/>
      <c r="AG42" s="37"/>
      <c r="AJ42" s="37"/>
      <c r="AM42" s="37"/>
      <c r="AP42" s="37"/>
      <c r="AS42" s="37"/>
      <c r="AV42" s="37"/>
    </row>
    <row r="43" spans="3:48" s="1" customFormat="1" x14ac:dyDescent="0.45">
      <c r="C43" s="2"/>
      <c r="D43" s="2"/>
      <c r="E43" s="2"/>
      <c r="F43" s="2"/>
      <c r="I43" s="37"/>
      <c r="L43" s="37"/>
      <c r="O43" s="37"/>
      <c r="R43" s="37"/>
      <c r="U43" s="37"/>
      <c r="X43" s="37"/>
      <c r="AA43" s="37"/>
      <c r="AD43" s="37"/>
      <c r="AG43" s="37"/>
      <c r="AJ43" s="37"/>
      <c r="AM43" s="37"/>
      <c r="AP43" s="37"/>
      <c r="AS43" s="37"/>
      <c r="AV43" s="37"/>
    </row>
    <row r="44" spans="3:48" s="1" customFormat="1" x14ac:dyDescent="0.45">
      <c r="C44" s="2"/>
      <c r="D44" s="2"/>
      <c r="E44" s="2"/>
      <c r="F44" s="2"/>
      <c r="I44" s="37"/>
      <c r="L44" s="37"/>
      <c r="O44" s="37"/>
      <c r="R44" s="37"/>
      <c r="U44" s="37"/>
      <c r="X44" s="37"/>
      <c r="AA44" s="37"/>
      <c r="AD44" s="37"/>
      <c r="AG44" s="37"/>
      <c r="AJ44" s="37"/>
      <c r="AM44" s="37"/>
      <c r="AP44" s="37"/>
      <c r="AS44" s="37"/>
      <c r="AV44" s="37"/>
    </row>
    <row r="45" spans="3:48" s="1" customFormat="1" x14ac:dyDescent="0.45">
      <c r="C45" s="2"/>
      <c r="D45" s="2"/>
      <c r="E45" s="2"/>
      <c r="F45" s="2"/>
      <c r="I45" s="37"/>
      <c r="L45" s="37"/>
      <c r="O45" s="37"/>
      <c r="R45" s="37"/>
      <c r="U45" s="37"/>
      <c r="X45" s="37"/>
      <c r="AA45" s="37"/>
      <c r="AD45" s="37"/>
      <c r="AG45" s="37"/>
      <c r="AJ45" s="37"/>
      <c r="AM45" s="37"/>
      <c r="AP45" s="37"/>
      <c r="AS45" s="37"/>
      <c r="AV45" s="37"/>
    </row>
  </sheetData>
  <mergeCells count="31">
    <mergeCell ref="AU2:AW2"/>
    <mergeCell ref="AR2:AT2"/>
    <mergeCell ref="AR20:AT20"/>
    <mergeCell ref="AC2:AE2"/>
    <mergeCell ref="AF2:AH2"/>
    <mergeCell ref="AI2:AK2"/>
    <mergeCell ref="AL2:AN2"/>
    <mergeCell ref="AO2:AQ2"/>
    <mergeCell ref="N2:P2"/>
    <mergeCell ref="Q2:S2"/>
    <mergeCell ref="T2:V2"/>
    <mergeCell ref="W2:Y2"/>
    <mergeCell ref="Z2:AB2"/>
    <mergeCell ref="B4:B8"/>
    <mergeCell ref="B9:B19"/>
    <mergeCell ref="H2:J2"/>
    <mergeCell ref="K2:M2"/>
    <mergeCell ref="B20:G20"/>
    <mergeCell ref="H20:J20"/>
    <mergeCell ref="K20:M20"/>
    <mergeCell ref="N20:P20"/>
    <mergeCell ref="Q20:S20"/>
    <mergeCell ref="T20:V20"/>
    <mergeCell ref="W20:Y20"/>
    <mergeCell ref="Z20:AB20"/>
    <mergeCell ref="AU20:AW20"/>
    <mergeCell ref="AC20:AE20"/>
    <mergeCell ref="AF20:AH20"/>
    <mergeCell ref="AI20:AK20"/>
    <mergeCell ref="AL20:AN20"/>
    <mergeCell ref="AO20:AQ20"/>
  </mergeCells>
  <pageMargins left="0.70866141732283472" right="0.70866141732283472" top="0.74803149606299213" bottom="0.74803149606299213" header="0.31496062992125984" footer="0.31496062992125984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1F2023CF-4AD5-4A65-8591-A7B327094E33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G4:G19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189D-93DC-4110-B943-EA32B198909A}">
  <dimension ref="A1:AE13"/>
  <sheetViews>
    <sheetView showGridLines="0" zoomScale="130" zoomScaleNormal="130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ColWidth="11.3984375" defaultRowHeight="15.4" x14ac:dyDescent="0.45"/>
  <cols>
    <col min="1" max="1" width="2.6640625" style="11" customWidth="1"/>
    <col min="2" max="2" width="35.33203125" style="11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16384" width="11.3984375" style="13"/>
  </cols>
  <sheetData>
    <row r="1" spans="1:31" x14ac:dyDescent="0.45">
      <c r="A1" s="25"/>
      <c r="B1" s="25"/>
      <c r="C1" s="26"/>
      <c r="D1" s="27"/>
      <c r="F1" s="27"/>
      <c r="H1" s="27"/>
      <c r="J1" s="27"/>
      <c r="L1" s="27"/>
      <c r="N1" s="27"/>
      <c r="P1" s="27"/>
      <c r="R1" s="27"/>
      <c r="T1" s="27"/>
      <c r="V1" s="27"/>
      <c r="X1" s="27"/>
      <c r="Z1" s="27"/>
      <c r="AB1" s="27"/>
      <c r="AD1" s="27"/>
    </row>
    <row r="2" spans="1:31" x14ac:dyDescent="0.45">
      <c r="B2" s="12" t="s">
        <v>62</v>
      </c>
      <c r="C2" s="58"/>
      <c r="D2" s="89" t="str">
        <f>Calificacion!C$4</f>
        <v>Grupo 1</v>
      </c>
      <c r="E2" s="90"/>
      <c r="F2" s="89" t="str">
        <f>Calificacion!D$4</f>
        <v>Grupo 2</v>
      </c>
      <c r="G2" s="90"/>
      <c r="H2" s="89" t="str">
        <f>Calificacion!E$4</f>
        <v>Grupo 3</v>
      </c>
      <c r="I2" s="90"/>
      <c r="J2" s="89" t="str">
        <f>Calificacion!F$4</f>
        <v>Grupo 4</v>
      </c>
      <c r="K2" s="90"/>
      <c r="L2" s="89" t="str">
        <f>Calificacion!G$4</f>
        <v>Grupo 5</v>
      </c>
      <c r="M2" s="90"/>
      <c r="N2" s="89" t="str">
        <f>Calificacion!H$4</f>
        <v>Grupo 6</v>
      </c>
      <c r="O2" s="90"/>
      <c r="P2" s="89" t="str">
        <f>Calificacion!I$4</f>
        <v>Grupo 7</v>
      </c>
      <c r="Q2" s="90"/>
      <c r="R2" s="89" t="str">
        <f>Calificacion!J$4</f>
        <v>Grupo 8</v>
      </c>
      <c r="S2" s="90"/>
      <c r="T2" s="89" t="str">
        <f>Calificacion!K$4</f>
        <v>Grupo 9</v>
      </c>
      <c r="U2" s="90"/>
      <c r="V2" s="89" t="str">
        <f>Calificacion!L$4</f>
        <v>Grupo 10</v>
      </c>
      <c r="W2" s="90"/>
      <c r="X2" s="89" t="str">
        <f>Calificacion!M$4</f>
        <v>Grupo 11</v>
      </c>
      <c r="Y2" s="90"/>
      <c r="Z2" s="89" t="str">
        <f>Calificacion!N$4</f>
        <v>Grupo 12</v>
      </c>
      <c r="AA2" s="90"/>
      <c r="AB2" s="93" t="str">
        <f>Calificacion!O$4</f>
        <v>Grupo 13</v>
      </c>
      <c r="AC2" s="94"/>
      <c r="AD2" s="93" t="str">
        <f>Calificacion!P$4</f>
        <v>Grupo 14</v>
      </c>
      <c r="AE2" s="94"/>
    </row>
    <row r="3" spans="1:31" x14ac:dyDescent="0.45">
      <c r="B3" s="21" t="s">
        <v>11</v>
      </c>
      <c r="C3" s="59" t="s">
        <v>45</v>
      </c>
      <c r="D3" s="19" t="s">
        <v>44</v>
      </c>
      <c r="E3" s="20" t="s">
        <v>53</v>
      </c>
      <c r="F3" s="19" t="s">
        <v>44</v>
      </c>
      <c r="G3" s="20" t="s">
        <v>53</v>
      </c>
      <c r="H3" s="19" t="s">
        <v>44</v>
      </c>
      <c r="I3" s="20" t="s">
        <v>53</v>
      </c>
      <c r="J3" s="19" t="s">
        <v>44</v>
      </c>
      <c r="K3" s="20" t="s">
        <v>53</v>
      </c>
      <c r="L3" s="19" t="s">
        <v>44</v>
      </c>
      <c r="M3" s="20" t="s">
        <v>53</v>
      </c>
      <c r="N3" s="19" t="s">
        <v>44</v>
      </c>
      <c r="O3" s="20" t="s">
        <v>53</v>
      </c>
      <c r="P3" s="19" t="s">
        <v>44</v>
      </c>
      <c r="Q3" s="20" t="s">
        <v>53</v>
      </c>
      <c r="R3" s="19" t="s">
        <v>44</v>
      </c>
      <c r="S3" s="20" t="s">
        <v>53</v>
      </c>
      <c r="T3" s="19" t="s">
        <v>44</v>
      </c>
      <c r="U3" s="20" t="s">
        <v>53</v>
      </c>
      <c r="V3" s="19" t="s">
        <v>44</v>
      </c>
      <c r="W3" s="20" t="s">
        <v>53</v>
      </c>
      <c r="X3" s="19" t="s">
        <v>44</v>
      </c>
      <c r="Y3" s="20" t="s">
        <v>53</v>
      </c>
      <c r="Z3" s="19" t="s">
        <v>44</v>
      </c>
      <c r="AA3" s="20" t="s">
        <v>53</v>
      </c>
      <c r="AB3" s="19" t="s">
        <v>44</v>
      </c>
      <c r="AC3" s="20" t="s">
        <v>53</v>
      </c>
      <c r="AD3" s="19" t="s">
        <v>44</v>
      </c>
      <c r="AE3" s="20" t="s">
        <v>53</v>
      </c>
    </row>
    <row r="4" spans="1:31" ht="32.65" customHeight="1" x14ac:dyDescent="0.45">
      <c r="B4" s="21" t="s">
        <v>20</v>
      </c>
      <c r="C4" s="60">
        <v>1</v>
      </c>
      <c r="D4" s="98">
        <v>0</v>
      </c>
      <c r="E4" s="99"/>
      <c r="F4" s="98">
        <v>0</v>
      </c>
      <c r="G4" s="99"/>
      <c r="H4" s="98">
        <v>0</v>
      </c>
      <c r="I4" s="99"/>
      <c r="J4" s="98">
        <v>0</v>
      </c>
      <c r="K4" s="99"/>
      <c r="L4" s="98">
        <v>0</v>
      </c>
      <c r="M4" s="99"/>
      <c r="N4" s="98">
        <v>0</v>
      </c>
      <c r="O4" s="99"/>
      <c r="P4" s="98">
        <v>0</v>
      </c>
      <c r="Q4" s="99"/>
      <c r="R4" s="98">
        <v>0</v>
      </c>
      <c r="S4" s="99"/>
      <c r="T4" s="98">
        <v>0</v>
      </c>
      <c r="U4" s="99"/>
      <c r="V4" s="98">
        <v>0</v>
      </c>
      <c r="W4" s="99"/>
      <c r="X4" s="98">
        <v>0</v>
      </c>
      <c r="Y4" s="99"/>
      <c r="Z4" s="98">
        <v>0</v>
      </c>
      <c r="AA4" s="99"/>
      <c r="AB4" s="98">
        <v>0</v>
      </c>
      <c r="AC4" s="99"/>
      <c r="AD4" s="98">
        <v>0</v>
      </c>
      <c r="AE4" s="99"/>
    </row>
    <row r="5" spans="1:31" s="11" customFormat="1" ht="32.65" customHeight="1" x14ac:dyDescent="0.45">
      <c r="B5" s="21" t="s">
        <v>21</v>
      </c>
      <c r="C5" s="60">
        <v>1</v>
      </c>
      <c r="D5" s="98"/>
      <c r="E5" s="99"/>
      <c r="F5" s="98"/>
      <c r="G5" s="99"/>
      <c r="H5" s="98"/>
      <c r="I5" s="99"/>
      <c r="J5" s="98"/>
      <c r="K5" s="99"/>
      <c r="L5" s="98"/>
      <c r="M5" s="99"/>
      <c r="N5" s="98"/>
      <c r="O5" s="99"/>
      <c r="P5" s="98"/>
      <c r="Q5" s="99"/>
      <c r="R5" s="98"/>
      <c r="S5" s="99"/>
      <c r="T5" s="98"/>
      <c r="U5" s="99"/>
      <c r="V5" s="98"/>
      <c r="W5" s="99"/>
      <c r="X5" s="98"/>
      <c r="Y5" s="99"/>
      <c r="Z5" s="98"/>
      <c r="AA5" s="99"/>
      <c r="AB5" s="98"/>
      <c r="AC5" s="99"/>
      <c r="AD5" s="98"/>
      <c r="AE5" s="99"/>
    </row>
    <row r="6" spans="1:31" ht="32.65" customHeight="1" x14ac:dyDescent="0.45">
      <c r="B6" s="21" t="s">
        <v>22</v>
      </c>
      <c r="C6" s="60">
        <v>1</v>
      </c>
      <c r="D6" s="98"/>
      <c r="E6" s="99"/>
      <c r="F6" s="98"/>
      <c r="G6" s="99"/>
      <c r="H6" s="98"/>
      <c r="I6" s="99"/>
      <c r="J6" s="98"/>
      <c r="K6" s="99"/>
      <c r="L6" s="98"/>
      <c r="M6" s="99"/>
      <c r="N6" s="98"/>
      <c r="O6" s="99"/>
      <c r="P6" s="98"/>
      <c r="Q6" s="99"/>
      <c r="R6" s="98"/>
      <c r="S6" s="99"/>
      <c r="T6" s="98"/>
      <c r="U6" s="99"/>
      <c r="V6" s="98"/>
      <c r="W6" s="99"/>
      <c r="X6" s="98"/>
      <c r="Y6" s="99"/>
      <c r="Z6" s="98"/>
      <c r="AA6" s="99"/>
      <c r="AB6" s="98"/>
      <c r="AC6" s="99"/>
      <c r="AD6" s="98"/>
      <c r="AE6" s="99"/>
    </row>
    <row r="7" spans="1:31" ht="32.65" customHeight="1" x14ac:dyDescent="0.45">
      <c r="B7" s="21" t="s">
        <v>23</v>
      </c>
      <c r="C7" s="60">
        <v>1</v>
      </c>
      <c r="D7" s="98"/>
      <c r="E7" s="99"/>
      <c r="F7" s="98"/>
      <c r="G7" s="99"/>
      <c r="H7" s="98"/>
      <c r="I7" s="99"/>
      <c r="J7" s="98"/>
      <c r="K7" s="99"/>
      <c r="L7" s="98"/>
      <c r="M7" s="99"/>
      <c r="N7" s="98"/>
      <c r="O7" s="99"/>
      <c r="P7" s="98"/>
      <c r="Q7" s="99"/>
      <c r="R7" s="98"/>
      <c r="S7" s="99"/>
      <c r="T7" s="98"/>
      <c r="U7" s="99"/>
      <c r="V7" s="98"/>
      <c r="W7" s="99"/>
      <c r="X7" s="98"/>
      <c r="Y7" s="99"/>
      <c r="Z7" s="98"/>
      <c r="AA7" s="99"/>
      <c r="AB7" s="98"/>
      <c r="AC7" s="99"/>
      <c r="AD7" s="98"/>
      <c r="AE7" s="99"/>
    </row>
    <row r="8" spans="1:31" x14ac:dyDescent="0.45">
      <c r="B8" s="22"/>
      <c r="C8" s="61"/>
      <c r="D8" s="100"/>
      <c r="E8" s="101"/>
      <c r="F8" s="100"/>
      <c r="G8" s="101"/>
      <c r="H8" s="100"/>
      <c r="I8" s="101"/>
      <c r="J8" s="100"/>
      <c r="K8" s="101"/>
      <c r="L8" s="100"/>
      <c r="M8" s="101"/>
      <c r="N8" s="100"/>
      <c r="O8" s="101"/>
      <c r="P8" s="100"/>
      <c r="Q8" s="101"/>
      <c r="R8" s="100"/>
      <c r="S8" s="101"/>
      <c r="T8" s="100"/>
      <c r="U8" s="101"/>
      <c r="V8" s="100"/>
      <c r="W8" s="101"/>
      <c r="X8" s="100"/>
      <c r="Y8" s="101"/>
      <c r="Z8" s="100"/>
      <c r="AA8" s="101"/>
      <c r="AB8" s="100"/>
      <c r="AC8" s="101"/>
      <c r="AD8" s="100"/>
      <c r="AE8" s="101"/>
    </row>
    <row r="9" spans="1:31" x14ac:dyDescent="0.45">
      <c r="B9" s="96" t="s">
        <v>75</v>
      </c>
      <c r="C9" s="96"/>
      <c r="D9" s="97">
        <f>AVERAGE(D4:D8)</f>
        <v>0</v>
      </c>
      <c r="E9" s="97"/>
      <c r="F9" s="97">
        <f>AVERAGE(F4:F8)</f>
        <v>0</v>
      </c>
      <c r="G9" s="97"/>
      <c r="H9" s="97">
        <f>AVERAGE(H4:H8)</f>
        <v>0</v>
      </c>
      <c r="I9" s="97"/>
      <c r="J9" s="97">
        <f>AVERAGE(J4:J8)</f>
        <v>0</v>
      </c>
      <c r="K9" s="97"/>
      <c r="L9" s="97">
        <f>AVERAGE(L4:L8)</f>
        <v>0</v>
      </c>
      <c r="M9" s="97"/>
      <c r="N9" s="97">
        <f>AVERAGE(N4:N8)</f>
        <v>0</v>
      </c>
      <c r="O9" s="97"/>
      <c r="P9" s="97">
        <f>AVERAGE(P4:P8)</f>
        <v>0</v>
      </c>
      <c r="Q9" s="97"/>
      <c r="R9" s="97">
        <f>AVERAGE(R4:R8)</f>
        <v>0</v>
      </c>
      <c r="S9" s="97"/>
      <c r="T9" s="97">
        <f>AVERAGE(T4:T8)</f>
        <v>0</v>
      </c>
      <c r="U9" s="97"/>
      <c r="V9" s="97">
        <f>AVERAGE(V4:V8)</f>
        <v>0</v>
      </c>
      <c r="W9" s="97"/>
      <c r="X9" s="97">
        <f>AVERAGE(X4:X8)</f>
        <v>0</v>
      </c>
      <c r="Y9" s="97"/>
      <c r="Z9" s="97">
        <f>AVERAGE(Z4:Z8)</f>
        <v>0</v>
      </c>
      <c r="AA9" s="97"/>
      <c r="AB9" s="97">
        <f>AVERAGE(AB4:AB8)</f>
        <v>0</v>
      </c>
      <c r="AC9" s="97"/>
      <c r="AD9" s="97">
        <f>AVERAGE(AD4:AD8)</f>
        <v>0</v>
      </c>
      <c r="AE9" s="97"/>
    </row>
    <row r="10" spans="1:31" ht="14.65" customHeight="1" x14ac:dyDescent="0.45">
      <c r="B10" s="95" t="s">
        <v>86</v>
      </c>
      <c r="C10" s="95"/>
    </row>
    <row r="11" spans="1:31" x14ac:dyDescent="0.45">
      <c r="B11" s="88"/>
      <c r="C11" s="88"/>
    </row>
    <row r="12" spans="1:31" x14ac:dyDescent="0.45">
      <c r="B12" s="88"/>
      <c r="C12" s="88"/>
    </row>
    <row r="13" spans="1:31" x14ac:dyDescent="0.45">
      <c r="B13" s="88"/>
      <c r="C13" s="88"/>
    </row>
  </sheetData>
  <mergeCells count="30">
    <mergeCell ref="AD2:AE2"/>
    <mergeCell ref="AD9:AE9"/>
    <mergeCell ref="L2:M2"/>
    <mergeCell ref="N2:O2"/>
    <mergeCell ref="Z2:AA2"/>
    <mergeCell ref="AB2:AC2"/>
    <mergeCell ref="P2:Q2"/>
    <mergeCell ref="R2:S2"/>
    <mergeCell ref="T2:U2"/>
    <mergeCell ref="V2:W2"/>
    <mergeCell ref="X2:Y2"/>
    <mergeCell ref="B10:C13"/>
    <mergeCell ref="D2:E2"/>
    <mergeCell ref="F2:G2"/>
    <mergeCell ref="H2:I2"/>
    <mergeCell ref="J2:K2"/>
    <mergeCell ref="B9:C9"/>
    <mergeCell ref="D9:E9"/>
    <mergeCell ref="F9:G9"/>
    <mergeCell ref="H9:I9"/>
    <mergeCell ref="J9:K9"/>
    <mergeCell ref="V9:W9"/>
    <mergeCell ref="X9:Y9"/>
    <mergeCell ref="Z9:AA9"/>
    <mergeCell ref="AB9:AC9"/>
    <mergeCell ref="L9:M9"/>
    <mergeCell ref="N9:O9"/>
    <mergeCell ref="P9:Q9"/>
    <mergeCell ref="R9:S9"/>
    <mergeCell ref="T9:U9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4226D9C9-5896-4ABB-A40C-F14BE667588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687B-88DA-4F58-935B-27FD279199A6}">
  <dimension ref="A1:AE17"/>
  <sheetViews>
    <sheetView showGridLines="0" zoomScale="115" zoomScaleNormal="11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4" sqref="D4"/>
    </sheetView>
  </sheetViews>
  <sheetFormatPr defaultColWidth="11.3984375" defaultRowHeight="15.4" x14ac:dyDescent="0.45"/>
  <cols>
    <col min="1" max="1" width="2.6640625" style="11" customWidth="1"/>
    <col min="2" max="2" width="30.6640625" style="30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32" width="4.6640625" style="13" customWidth="1"/>
    <col min="33" max="16384" width="11.3984375" style="13"/>
  </cols>
  <sheetData>
    <row r="1" spans="1:31" x14ac:dyDescent="0.45">
      <c r="A1" s="25"/>
      <c r="B1" s="29"/>
      <c r="C1" s="26"/>
      <c r="D1" s="27"/>
      <c r="F1" s="27"/>
      <c r="H1" s="27"/>
      <c r="J1" s="27"/>
      <c r="L1" s="27"/>
      <c r="N1" s="27"/>
      <c r="P1" s="27"/>
      <c r="R1" s="27"/>
      <c r="T1" s="27"/>
      <c r="V1" s="27"/>
      <c r="X1" s="27"/>
      <c r="Z1" s="27"/>
      <c r="AB1" s="27"/>
      <c r="AD1" s="27"/>
    </row>
    <row r="2" spans="1:31" x14ac:dyDescent="0.45">
      <c r="B2" s="23" t="s">
        <v>61</v>
      </c>
      <c r="C2" s="58"/>
      <c r="D2" s="89" t="str">
        <f>Calificacion!C$4</f>
        <v>Grupo 1</v>
      </c>
      <c r="E2" s="90"/>
      <c r="F2" s="89" t="str">
        <f>Calificacion!D$4</f>
        <v>Grupo 2</v>
      </c>
      <c r="G2" s="90"/>
      <c r="H2" s="89" t="str">
        <f>Calificacion!E$4</f>
        <v>Grupo 3</v>
      </c>
      <c r="I2" s="90"/>
      <c r="J2" s="89" t="str">
        <f>Calificacion!F$4</f>
        <v>Grupo 4</v>
      </c>
      <c r="K2" s="90"/>
      <c r="L2" s="89" t="str">
        <f>Calificacion!G$4</f>
        <v>Grupo 5</v>
      </c>
      <c r="M2" s="90"/>
      <c r="N2" s="89" t="str">
        <f>Calificacion!H$4</f>
        <v>Grupo 6</v>
      </c>
      <c r="O2" s="90"/>
      <c r="P2" s="89" t="str">
        <f>Calificacion!I$4</f>
        <v>Grupo 7</v>
      </c>
      <c r="Q2" s="90"/>
      <c r="R2" s="89" t="str">
        <f>Calificacion!J$4</f>
        <v>Grupo 8</v>
      </c>
      <c r="S2" s="90"/>
      <c r="T2" s="89" t="str">
        <f>Calificacion!K$4</f>
        <v>Grupo 9</v>
      </c>
      <c r="U2" s="90"/>
      <c r="V2" s="89" t="str">
        <f>Calificacion!L$4</f>
        <v>Grupo 10</v>
      </c>
      <c r="W2" s="90"/>
      <c r="X2" s="89" t="str">
        <f>Calificacion!M$4</f>
        <v>Grupo 11</v>
      </c>
      <c r="Y2" s="90"/>
      <c r="Z2" s="93" t="str">
        <f>Calificacion!N$4</f>
        <v>Grupo 12</v>
      </c>
      <c r="AA2" s="94"/>
      <c r="AB2" s="93" t="str">
        <f>Calificacion!O$4</f>
        <v>Grupo 13</v>
      </c>
      <c r="AC2" s="94"/>
      <c r="AD2" s="89" t="s">
        <v>85</v>
      </c>
      <c r="AE2" s="90"/>
    </row>
    <row r="3" spans="1:31" x14ac:dyDescent="0.45">
      <c r="B3" s="21" t="s">
        <v>11</v>
      </c>
      <c r="C3" s="59" t="s">
        <v>45</v>
      </c>
      <c r="D3" s="19" t="s">
        <v>44</v>
      </c>
      <c r="E3" s="20" t="s">
        <v>53</v>
      </c>
      <c r="F3" s="19" t="s">
        <v>44</v>
      </c>
      <c r="G3" s="20" t="s">
        <v>53</v>
      </c>
      <c r="H3" s="19" t="s">
        <v>44</v>
      </c>
      <c r="I3" s="20" t="s">
        <v>53</v>
      </c>
      <c r="J3" s="19" t="s">
        <v>44</v>
      </c>
      <c r="K3" s="20" t="s">
        <v>53</v>
      </c>
      <c r="L3" s="19" t="s">
        <v>44</v>
      </c>
      <c r="M3" s="20" t="s">
        <v>53</v>
      </c>
      <c r="N3" s="19" t="s">
        <v>44</v>
      </c>
      <c r="O3" s="20" t="s">
        <v>53</v>
      </c>
      <c r="P3" s="19" t="s">
        <v>44</v>
      </c>
      <c r="Q3" s="20" t="s">
        <v>53</v>
      </c>
      <c r="R3" s="19" t="s">
        <v>44</v>
      </c>
      <c r="S3" s="20" t="s">
        <v>53</v>
      </c>
      <c r="T3" s="19" t="s">
        <v>44</v>
      </c>
      <c r="U3" s="20" t="s">
        <v>53</v>
      </c>
      <c r="V3" s="19" t="s">
        <v>44</v>
      </c>
      <c r="W3" s="20" t="s">
        <v>53</v>
      </c>
      <c r="X3" s="19" t="s">
        <v>44</v>
      </c>
      <c r="Y3" s="20" t="s">
        <v>53</v>
      </c>
      <c r="Z3" s="19" t="s">
        <v>44</v>
      </c>
      <c r="AA3" s="20" t="s">
        <v>53</v>
      </c>
      <c r="AB3" s="19" t="s">
        <v>44</v>
      </c>
      <c r="AC3" s="20" t="s">
        <v>53</v>
      </c>
      <c r="AD3" s="19" t="s">
        <v>44</v>
      </c>
      <c r="AE3" s="20" t="s">
        <v>53</v>
      </c>
    </row>
    <row r="4" spans="1:31" x14ac:dyDescent="0.45">
      <c r="B4" s="21" t="s">
        <v>43</v>
      </c>
      <c r="C4" s="60">
        <v>1</v>
      </c>
      <c r="D4" s="98">
        <v>0</v>
      </c>
      <c r="E4" s="99"/>
      <c r="F4" s="98">
        <v>0</v>
      </c>
      <c r="G4" s="99"/>
      <c r="H4" s="98">
        <v>0</v>
      </c>
      <c r="I4" s="99"/>
      <c r="J4" s="98">
        <v>0</v>
      </c>
      <c r="K4" s="99"/>
      <c r="L4" s="98">
        <v>0</v>
      </c>
      <c r="M4" s="99"/>
      <c r="N4" s="98">
        <v>0</v>
      </c>
      <c r="O4" s="99"/>
      <c r="P4" s="98">
        <v>0</v>
      </c>
      <c r="Q4" s="99"/>
      <c r="R4" s="98">
        <v>0</v>
      </c>
      <c r="S4" s="99"/>
      <c r="T4" s="98">
        <v>0</v>
      </c>
      <c r="U4" s="99"/>
      <c r="V4" s="98">
        <v>0</v>
      </c>
      <c r="W4" s="99"/>
      <c r="X4" s="98">
        <v>0</v>
      </c>
      <c r="Y4" s="99"/>
      <c r="Z4" s="98">
        <v>0</v>
      </c>
      <c r="AA4" s="99"/>
      <c r="AB4" s="98">
        <v>0</v>
      </c>
      <c r="AC4" s="99"/>
      <c r="AD4" s="98">
        <v>0</v>
      </c>
      <c r="AE4" s="99"/>
    </row>
    <row r="5" spans="1:31" x14ac:dyDescent="0.45">
      <c r="B5" s="21" t="s">
        <v>38</v>
      </c>
      <c r="C5" s="60">
        <v>1</v>
      </c>
      <c r="D5" s="98"/>
      <c r="E5" s="99"/>
      <c r="F5" s="98"/>
      <c r="G5" s="99"/>
      <c r="H5" s="98"/>
      <c r="I5" s="99"/>
      <c r="J5" s="98"/>
      <c r="K5" s="99"/>
      <c r="L5" s="98"/>
      <c r="M5" s="99"/>
      <c r="N5" s="98"/>
      <c r="O5" s="99"/>
      <c r="P5" s="98"/>
      <c r="Q5" s="99"/>
      <c r="R5" s="98"/>
      <c r="S5" s="99"/>
      <c r="T5" s="98"/>
      <c r="U5" s="99"/>
      <c r="V5" s="98"/>
      <c r="W5" s="99"/>
      <c r="X5" s="98"/>
      <c r="Y5" s="99"/>
      <c r="Z5" s="98"/>
      <c r="AA5" s="99"/>
      <c r="AB5" s="98"/>
      <c r="AC5" s="99"/>
      <c r="AD5" s="98"/>
      <c r="AE5" s="99"/>
    </row>
    <row r="6" spans="1:31" s="11" customFormat="1" x14ac:dyDescent="0.45">
      <c r="B6" s="21" t="s">
        <v>39</v>
      </c>
      <c r="C6" s="60">
        <v>1</v>
      </c>
      <c r="D6" s="98"/>
      <c r="E6" s="99"/>
      <c r="F6" s="98"/>
      <c r="G6" s="99"/>
      <c r="H6" s="98"/>
      <c r="I6" s="99"/>
      <c r="J6" s="98"/>
      <c r="K6" s="99"/>
      <c r="L6" s="98"/>
      <c r="M6" s="99"/>
      <c r="N6" s="98"/>
      <c r="O6" s="99"/>
      <c r="P6" s="98"/>
      <c r="Q6" s="99"/>
      <c r="R6" s="98"/>
      <c r="S6" s="99"/>
      <c r="T6" s="98"/>
      <c r="U6" s="99"/>
      <c r="V6" s="98"/>
      <c r="W6" s="99"/>
      <c r="X6" s="98"/>
      <c r="Y6" s="99"/>
      <c r="Z6" s="98"/>
      <c r="AA6" s="99"/>
      <c r="AB6" s="98"/>
      <c r="AC6" s="99"/>
      <c r="AD6" s="98"/>
      <c r="AE6" s="99"/>
    </row>
    <row r="7" spans="1:31" x14ac:dyDescent="0.45">
      <c r="B7" s="21" t="s">
        <v>24</v>
      </c>
      <c r="C7" s="60">
        <v>1</v>
      </c>
      <c r="D7" s="98"/>
      <c r="E7" s="99"/>
      <c r="F7" s="98"/>
      <c r="G7" s="99"/>
      <c r="H7" s="98"/>
      <c r="I7" s="99"/>
      <c r="J7" s="98"/>
      <c r="K7" s="99"/>
      <c r="L7" s="98"/>
      <c r="M7" s="99"/>
      <c r="N7" s="98"/>
      <c r="O7" s="99"/>
      <c r="P7" s="98"/>
      <c r="Q7" s="99"/>
      <c r="R7" s="98"/>
      <c r="S7" s="99"/>
      <c r="T7" s="98"/>
      <c r="U7" s="99"/>
      <c r="V7" s="98"/>
      <c r="W7" s="99"/>
      <c r="X7" s="98"/>
      <c r="Y7" s="99"/>
      <c r="Z7" s="98"/>
      <c r="AA7" s="99"/>
      <c r="AB7" s="98"/>
      <c r="AC7" s="99"/>
      <c r="AD7" s="98"/>
      <c r="AE7" s="99"/>
    </row>
    <row r="8" spans="1:31" ht="30.75" x14ac:dyDescent="0.45">
      <c r="B8" s="21" t="s">
        <v>25</v>
      </c>
      <c r="C8" s="60">
        <v>1</v>
      </c>
      <c r="D8" s="98"/>
      <c r="E8" s="99"/>
      <c r="F8" s="98"/>
      <c r="G8" s="99"/>
      <c r="H8" s="98"/>
      <c r="I8" s="99"/>
      <c r="J8" s="98"/>
      <c r="K8" s="99"/>
      <c r="L8" s="98"/>
      <c r="M8" s="99"/>
      <c r="N8" s="98"/>
      <c r="O8" s="99"/>
      <c r="P8" s="98"/>
      <c r="Q8" s="99"/>
      <c r="R8" s="98"/>
      <c r="S8" s="99"/>
      <c r="T8" s="98"/>
      <c r="U8" s="99"/>
      <c r="V8" s="98"/>
      <c r="W8" s="99"/>
      <c r="X8" s="98"/>
      <c r="Y8" s="99"/>
      <c r="Z8" s="98"/>
      <c r="AA8" s="99"/>
      <c r="AB8" s="98"/>
      <c r="AC8" s="99"/>
      <c r="AD8" s="98"/>
      <c r="AE8" s="99"/>
    </row>
    <row r="9" spans="1:31" x14ac:dyDescent="0.45">
      <c r="B9" s="21" t="s">
        <v>26</v>
      </c>
      <c r="C9" s="60">
        <v>1</v>
      </c>
      <c r="D9" s="98"/>
      <c r="E9" s="99"/>
      <c r="F9" s="98"/>
      <c r="G9" s="99"/>
      <c r="H9" s="98"/>
      <c r="I9" s="99"/>
      <c r="J9" s="98"/>
      <c r="K9" s="99"/>
      <c r="L9" s="98"/>
      <c r="M9" s="99"/>
      <c r="N9" s="98"/>
      <c r="O9" s="99"/>
      <c r="P9" s="98"/>
      <c r="Q9" s="99"/>
      <c r="R9" s="98"/>
      <c r="S9" s="99"/>
      <c r="T9" s="98"/>
      <c r="U9" s="99"/>
      <c r="V9" s="98"/>
      <c r="W9" s="99"/>
      <c r="X9" s="98"/>
      <c r="Y9" s="99"/>
      <c r="Z9" s="98"/>
      <c r="AA9" s="99"/>
      <c r="AB9" s="98"/>
      <c r="AC9" s="99"/>
      <c r="AD9" s="98"/>
      <c r="AE9" s="99"/>
    </row>
    <row r="10" spans="1:31" x14ac:dyDescent="0.45">
      <c r="B10" s="21" t="s">
        <v>65</v>
      </c>
      <c r="C10" s="60">
        <v>1</v>
      </c>
      <c r="D10" s="98"/>
      <c r="E10" s="99"/>
      <c r="F10" s="98"/>
      <c r="G10" s="99"/>
      <c r="H10" s="98"/>
      <c r="I10" s="99"/>
      <c r="J10" s="98"/>
      <c r="K10" s="99"/>
      <c r="L10" s="98"/>
      <c r="M10" s="99"/>
      <c r="N10" s="98"/>
      <c r="O10" s="99"/>
      <c r="P10" s="98"/>
      <c r="Q10" s="99"/>
      <c r="R10" s="98"/>
      <c r="S10" s="99"/>
      <c r="T10" s="98"/>
      <c r="U10" s="99"/>
      <c r="V10" s="98"/>
      <c r="W10" s="99"/>
      <c r="X10" s="98"/>
      <c r="Y10" s="99"/>
      <c r="Z10" s="98"/>
      <c r="AA10" s="99"/>
      <c r="AB10" s="98"/>
      <c r="AC10" s="99"/>
      <c r="AD10" s="98"/>
      <c r="AE10" s="99"/>
    </row>
    <row r="11" spans="1:31" ht="18" customHeight="1" x14ac:dyDescent="0.45">
      <c r="B11" s="22"/>
      <c r="C11" s="61"/>
      <c r="D11" s="100"/>
      <c r="E11" s="101"/>
      <c r="F11" s="100"/>
      <c r="G11" s="101"/>
      <c r="H11" s="100"/>
      <c r="I11" s="101"/>
      <c r="J11" s="100"/>
      <c r="K11" s="101"/>
      <c r="L11" s="100"/>
      <c r="M11" s="101"/>
      <c r="N11" s="100"/>
      <c r="O11" s="101"/>
      <c r="P11" s="100"/>
      <c r="Q11" s="101"/>
      <c r="R11" s="100"/>
      <c r="S11" s="101"/>
      <c r="T11" s="100"/>
      <c r="U11" s="101"/>
      <c r="V11" s="100"/>
      <c r="W11" s="101"/>
      <c r="X11" s="100"/>
      <c r="Y11" s="101"/>
      <c r="Z11" s="100"/>
      <c r="AA11" s="101"/>
      <c r="AB11" s="100"/>
      <c r="AC11" s="101"/>
      <c r="AD11" s="100"/>
      <c r="AE11" s="101"/>
    </row>
    <row r="12" spans="1:31" x14ac:dyDescent="0.45">
      <c r="B12" s="96" t="s">
        <v>75</v>
      </c>
      <c r="C12" s="96"/>
      <c r="D12" s="97">
        <f>AVERAGE(D4:D11)</f>
        <v>0</v>
      </c>
      <c r="E12" s="97"/>
      <c r="F12" s="97">
        <f>AVERAGE(F4:F11)</f>
        <v>0</v>
      </c>
      <c r="G12" s="97"/>
      <c r="H12" s="97">
        <f>AVERAGE(H4:H11)</f>
        <v>0</v>
      </c>
      <c r="I12" s="97"/>
      <c r="J12" s="97">
        <f>AVERAGE(J4:J11)</f>
        <v>0</v>
      </c>
      <c r="K12" s="97"/>
      <c r="L12" s="97">
        <f>AVERAGE(L4:L11)</f>
        <v>0</v>
      </c>
      <c r="M12" s="97"/>
      <c r="N12" s="97">
        <f>AVERAGE(N4:N11)</f>
        <v>0</v>
      </c>
      <c r="O12" s="97"/>
      <c r="P12" s="97">
        <f>AVERAGE(P4:P11)</f>
        <v>0</v>
      </c>
      <c r="Q12" s="97"/>
      <c r="R12" s="97">
        <f>AVERAGE(R4:R11)</f>
        <v>0</v>
      </c>
      <c r="S12" s="97"/>
      <c r="T12" s="97">
        <f>AVERAGE(T4:T11)</f>
        <v>0</v>
      </c>
      <c r="U12" s="97"/>
      <c r="V12" s="97">
        <f>AVERAGE(V4:V11)</f>
        <v>0</v>
      </c>
      <c r="W12" s="97"/>
      <c r="X12" s="97">
        <f>AVERAGE(X4:X11)</f>
        <v>0</v>
      </c>
      <c r="Y12" s="97"/>
      <c r="Z12" s="97">
        <f>AVERAGE(Z4:Z11)</f>
        <v>0</v>
      </c>
      <c r="AA12" s="97"/>
      <c r="AB12" s="97">
        <f>AVERAGE(AB4:AB11)</f>
        <v>0</v>
      </c>
      <c r="AC12" s="97"/>
      <c r="AD12" s="97">
        <f>AVERAGE(AD4:AD11)</f>
        <v>0</v>
      </c>
      <c r="AE12" s="97"/>
    </row>
    <row r="13" spans="1:31" ht="14.65" customHeight="1" x14ac:dyDescent="0.45">
      <c r="B13" s="87" t="s">
        <v>86</v>
      </c>
      <c r="C13" s="87"/>
    </row>
    <row r="14" spans="1:31" x14ac:dyDescent="0.45">
      <c r="B14" s="88"/>
      <c r="C14" s="88"/>
    </row>
    <row r="15" spans="1:31" x14ac:dyDescent="0.45">
      <c r="B15" s="88"/>
      <c r="C15" s="88"/>
    </row>
    <row r="16" spans="1:31" x14ac:dyDescent="0.45">
      <c r="B16" s="88"/>
      <c r="C16" s="88"/>
    </row>
    <row r="17" spans="2:3" x14ac:dyDescent="0.45">
      <c r="B17" s="88"/>
      <c r="C17" s="88"/>
    </row>
  </sheetData>
  <mergeCells count="30">
    <mergeCell ref="V12:W12"/>
    <mergeCell ref="X12:Y12"/>
    <mergeCell ref="AB12:AC12"/>
    <mergeCell ref="AD12:AE12"/>
    <mergeCell ref="Z12:AA12"/>
    <mergeCell ref="L12:M12"/>
    <mergeCell ref="N12:O12"/>
    <mergeCell ref="P12:Q12"/>
    <mergeCell ref="R12:S12"/>
    <mergeCell ref="T12:U12"/>
    <mergeCell ref="L2:M2"/>
    <mergeCell ref="X2:Y2"/>
    <mergeCell ref="AB2:AC2"/>
    <mergeCell ref="AD2:AE2"/>
    <mergeCell ref="N2:O2"/>
    <mergeCell ref="P2:Q2"/>
    <mergeCell ref="R2:S2"/>
    <mergeCell ref="T2:U2"/>
    <mergeCell ref="V2:W2"/>
    <mergeCell ref="Z2:AA2"/>
    <mergeCell ref="B13:C17"/>
    <mergeCell ref="D2:E2"/>
    <mergeCell ref="F2:G2"/>
    <mergeCell ref="H2:I2"/>
    <mergeCell ref="J2:K2"/>
    <mergeCell ref="B12:C12"/>
    <mergeCell ref="D12:E12"/>
    <mergeCell ref="F12:G12"/>
    <mergeCell ref="H12:I12"/>
    <mergeCell ref="J12:K12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D26905E5-670A-49D0-A3BA-A1B0A1CC301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5785-A9FD-461E-BACE-F9659F4B320D}">
  <dimension ref="A1:AF17"/>
  <sheetViews>
    <sheetView showGridLines="0" zoomScale="115" zoomScaleNormal="115" workbookViewId="0">
      <pane xSplit="3" ySplit="3" topLeftCell="X4" activePane="bottomRight" state="frozen"/>
      <selection pane="topRight" activeCell="E1" sqref="E1"/>
      <selection pane="bottomLeft" activeCell="A4" sqref="A4"/>
      <selection pane="bottomRight" activeCell="D4" sqref="D4:AE11"/>
    </sheetView>
  </sheetViews>
  <sheetFormatPr defaultColWidth="11.3984375" defaultRowHeight="15.4" x14ac:dyDescent="0.45"/>
  <cols>
    <col min="1" max="1" width="2.6640625" style="11" customWidth="1"/>
    <col min="2" max="2" width="30.6640625" style="30" customWidth="1"/>
    <col min="3" max="3" width="6" style="13" customWidth="1"/>
    <col min="4" max="4" width="5.6640625" style="13" customWidth="1"/>
    <col min="5" max="5" width="30.6640625" style="13" customWidth="1"/>
    <col min="6" max="6" width="5.6640625" style="13" customWidth="1"/>
    <col min="7" max="7" width="30.6640625" style="13" customWidth="1"/>
    <col min="8" max="8" width="5.6640625" style="13" customWidth="1"/>
    <col min="9" max="9" width="30.6640625" style="13" customWidth="1"/>
    <col min="10" max="10" width="5.6640625" style="13" customWidth="1"/>
    <col min="11" max="11" width="30.6640625" style="13" customWidth="1"/>
    <col min="12" max="12" width="5.6640625" style="13" customWidth="1"/>
    <col min="13" max="13" width="30.6640625" style="13" customWidth="1"/>
    <col min="14" max="14" width="5.6640625" style="13" customWidth="1"/>
    <col min="15" max="15" width="30.6640625" style="13" customWidth="1"/>
    <col min="16" max="16" width="5.6640625" style="13" customWidth="1"/>
    <col min="17" max="17" width="30.6640625" style="13" customWidth="1"/>
    <col min="18" max="18" width="5.6640625" style="13" customWidth="1"/>
    <col min="19" max="19" width="30.6640625" style="13" customWidth="1"/>
    <col min="20" max="20" width="5.6640625" style="13" customWidth="1"/>
    <col min="21" max="21" width="30.6640625" style="13" customWidth="1"/>
    <col min="22" max="22" width="5.6640625" style="13" customWidth="1"/>
    <col min="23" max="23" width="30.6640625" style="13" customWidth="1"/>
    <col min="24" max="24" width="5.6640625" style="13" customWidth="1"/>
    <col min="25" max="25" width="30.6640625" style="13" customWidth="1"/>
    <col min="26" max="26" width="5.6640625" style="13" customWidth="1"/>
    <col min="27" max="27" width="30.6640625" style="13" customWidth="1"/>
    <col min="28" max="28" width="5.6640625" style="13" customWidth="1"/>
    <col min="29" max="29" width="30.6640625" style="13" customWidth="1"/>
    <col min="30" max="30" width="5.6640625" style="13" customWidth="1"/>
    <col min="31" max="31" width="30.6640625" style="13" customWidth="1"/>
    <col min="32" max="32" width="4.6640625" style="13" customWidth="1"/>
    <col min="33" max="16384" width="11.3984375" style="13"/>
  </cols>
  <sheetData>
    <row r="1" spans="1:32" x14ac:dyDescent="0.45">
      <c r="A1" s="25"/>
      <c r="B1" s="29"/>
      <c r="C1" s="26"/>
      <c r="D1" s="31"/>
      <c r="E1" s="32"/>
      <c r="F1" s="31"/>
      <c r="G1" s="32"/>
      <c r="H1" s="31"/>
      <c r="I1" s="32"/>
      <c r="J1" s="31"/>
      <c r="K1" s="32"/>
      <c r="L1" s="31"/>
      <c r="M1" s="32"/>
      <c r="N1" s="31"/>
      <c r="O1" s="32"/>
      <c r="P1" s="31"/>
      <c r="Q1" s="32"/>
      <c r="R1" s="31"/>
      <c r="S1" s="32"/>
      <c r="T1" s="31"/>
      <c r="U1" s="32"/>
      <c r="V1" s="31"/>
      <c r="W1" s="32"/>
      <c r="X1" s="31"/>
      <c r="Y1" s="32"/>
      <c r="Z1" s="31"/>
      <c r="AA1" s="32"/>
      <c r="AB1" s="31"/>
      <c r="AC1" s="32"/>
      <c r="AD1" s="31"/>
      <c r="AE1" s="32"/>
      <c r="AF1" s="27"/>
    </row>
    <row r="2" spans="1:32" x14ac:dyDescent="0.45">
      <c r="B2" s="23" t="s">
        <v>60</v>
      </c>
      <c r="C2" s="58"/>
      <c r="D2" s="89" t="str">
        <f>Calificacion!C$4</f>
        <v>Grupo 1</v>
      </c>
      <c r="E2" s="90"/>
      <c r="F2" s="89" t="str">
        <f>Calificacion!D$4</f>
        <v>Grupo 2</v>
      </c>
      <c r="G2" s="90"/>
      <c r="H2" s="89" t="str">
        <f>Calificacion!E$4</f>
        <v>Grupo 3</v>
      </c>
      <c r="I2" s="90"/>
      <c r="J2" s="89" t="str">
        <f>Calificacion!F$4</f>
        <v>Grupo 4</v>
      </c>
      <c r="K2" s="90"/>
      <c r="L2" s="89" t="str">
        <f>Calificacion!G$4</f>
        <v>Grupo 5</v>
      </c>
      <c r="M2" s="90"/>
      <c r="N2" s="89" t="str">
        <f>Calificacion!H$4</f>
        <v>Grupo 6</v>
      </c>
      <c r="O2" s="90"/>
      <c r="P2" s="89" t="str">
        <f>Calificacion!I$4</f>
        <v>Grupo 7</v>
      </c>
      <c r="Q2" s="90"/>
      <c r="R2" s="89" t="str">
        <f>Calificacion!J$4</f>
        <v>Grupo 8</v>
      </c>
      <c r="S2" s="90"/>
      <c r="T2" s="89" t="str">
        <f>Calificacion!K$4</f>
        <v>Grupo 9</v>
      </c>
      <c r="U2" s="90"/>
      <c r="V2" s="89" t="str">
        <f>Calificacion!L$4</f>
        <v>Grupo 10</v>
      </c>
      <c r="W2" s="90"/>
      <c r="X2" s="89" t="str">
        <f>Calificacion!M$4</f>
        <v>Grupo 11</v>
      </c>
      <c r="Y2" s="90"/>
      <c r="Z2" s="89" t="str">
        <f>Calificacion!N$4</f>
        <v>Grupo 12</v>
      </c>
      <c r="AA2" s="90"/>
      <c r="AB2" s="93" t="str">
        <f>Calificacion!O$4</f>
        <v>Grupo 13</v>
      </c>
      <c r="AC2" s="94"/>
      <c r="AD2" s="89" t="str">
        <f>Calificacion!P$4</f>
        <v>Grupo 14</v>
      </c>
      <c r="AE2" s="90"/>
    </row>
    <row r="3" spans="1:32" x14ac:dyDescent="0.45">
      <c r="B3" s="21" t="s">
        <v>11</v>
      </c>
      <c r="C3" s="59" t="s">
        <v>45</v>
      </c>
      <c r="D3" s="24" t="s">
        <v>44</v>
      </c>
      <c r="E3" s="20" t="s">
        <v>53</v>
      </c>
      <c r="F3" s="24" t="s">
        <v>44</v>
      </c>
      <c r="G3" s="20" t="s">
        <v>53</v>
      </c>
      <c r="H3" s="24" t="s">
        <v>44</v>
      </c>
      <c r="I3" s="20" t="s">
        <v>53</v>
      </c>
      <c r="J3" s="24" t="s">
        <v>44</v>
      </c>
      <c r="K3" s="20" t="s">
        <v>53</v>
      </c>
      <c r="L3" s="24" t="s">
        <v>44</v>
      </c>
      <c r="M3" s="20" t="s">
        <v>53</v>
      </c>
      <c r="N3" s="24" t="s">
        <v>44</v>
      </c>
      <c r="O3" s="20" t="s">
        <v>53</v>
      </c>
      <c r="P3" s="24" t="s">
        <v>44</v>
      </c>
      <c r="Q3" s="20" t="s">
        <v>53</v>
      </c>
      <c r="R3" s="24" t="s">
        <v>44</v>
      </c>
      <c r="S3" s="20" t="s">
        <v>53</v>
      </c>
      <c r="T3" s="24" t="s">
        <v>44</v>
      </c>
      <c r="U3" s="20" t="s">
        <v>53</v>
      </c>
      <c r="V3" s="24" t="s">
        <v>44</v>
      </c>
      <c r="W3" s="20" t="s">
        <v>53</v>
      </c>
      <c r="X3" s="24" t="s">
        <v>44</v>
      </c>
      <c r="Y3" s="20" t="s">
        <v>53</v>
      </c>
      <c r="Z3" s="24" t="s">
        <v>44</v>
      </c>
      <c r="AA3" s="20" t="s">
        <v>53</v>
      </c>
      <c r="AB3" s="24" t="s">
        <v>44</v>
      </c>
      <c r="AC3" s="20" t="s">
        <v>53</v>
      </c>
      <c r="AD3" s="24" t="s">
        <v>44</v>
      </c>
      <c r="AE3" s="20" t="s">
        <v>53</v>
      </c>
    </row>
    <row r="4" spans="1:32" ht="29.65" customHeight="1" x14ac:dyDescent="0.45">
      <c r="B4" s="21" t="s">
        <v>46</v>
      </c>
      <c r="C4" s="60">
        <v>1</v>
      </c>
      <c r="D4" s="98">
        <v>0</v>
      </c>
      <c r="E4" s="99"/>
      <c r="F4" s="98">
        <v>0</v>
      </c>
      <c r="G4" s="99"/>
      <c r="H4" s="98">
        <v>0</v>
      </c>
      <c r="I4" s="99"/>
      <c r="J4" s="98">
        <v>0</v>
      </c>
      <c r="K4" s="99"/>
      <c r="L4" s="98">
        <v>0</v>
      </c>
      <c r="M4" s="99"/>
      <c r="N4" s="98">
        <v>0</v>
      </c>
      <c r="O4" s="99"/>
      <c r="P4" s="98">
        <v>0</v>
      </c>
      <c r="Q4" s="99"/>
      <c r="R4" s="98">
        <v>0</v>
      </c>
      <c r="S4" s="99"/>
      <c r="T4" s="98">
        <v>0</v>
      </c>
      <c r="U4" s="99"/>
      <c r="V4" s="98">
        <v>0</v>
      </c>
      <c r="W4" s="99"/>
      <c r="X4" s="98">
        <v>0</v>
      </c>
      <c r="Y4" s="99"/>
      <c r="Z4" s="98">
        <v>0</v>
      </c>
      <c r="AA4" s="99"/>
      <c r="AB4" s="98">
        <v>0</v>
      </c>
      <c r="AC4" s="99"/>
      <c r="AD4" s="98">
        <v>0</v>
      </c>
      <c r="AE4" s="99"/>
    </row>
    <row r="5" spans="1:32" ht="29.65" customHeight="1" x14ac:dyDescent="0.45">
      <c r="B5" s="21" t="s">
        <v>27</v>
      </c>
      <c r="C5" s="60">
        <v>1</v>
      </c>
      <c r="D5" s="98"/>
      <c r="E5" s="99"/>
      <c r="F5" s="98"/>
      <c r="G5" s="99"/>
      <c r="H5" s="98"/>
      <c r="I5" s="99"/>
      <c r="J5" s="98"/>
      <c r="K5" s="99"/>
      <c r="L5" s="98"/>
      <c r="M5" s="99"/>
      <c r="N5" s="98"/>
      <c r="O5" s="99"/>
      <c r="P5" s="98"/>
      <c r="Q5" s="99"/>
      <c r="R5" s="98"/>
      <c r="S5" s="99"/>
      <c r="T5" s="98"/>
      <c r="U5" s="99"/>
      <c r="V5" s="98"/>
      <c r="W5" s="99"/>
      <c r="X5" s="98"/>
      <c r="Y5" s="99"/>
      <c r="Z5" s="98"/>
      <c r="AA5" s="99"/>
      <c r="AB5" s="98"/>
      <c r="AC5" s="99"/>
      <c r="AD5" s="98"/>
      <c r="AE5" s="99"/>
    </row>
    <row r="6" spans="1:32" s="11" customFormat="1" ht="29.65" customHeight="1" x14ac:dyDescent="0.45">
      <c r="B6" s="21" t="s">
        <v>28</v>
      </c>
      <c r="C6" s="60">
        <v>1</v>
      </c>
      <c r="D6" s="98"/>
      <c r="E6" s="99"/>
      <c r="F6" s="98"/>
      <c r="G6" s="99"/>
      <c r="H6" s="98"/>
      <c r="I6" s="99"/>
      <c r="J6" s="98"/>
      <c r="K6" s="99"/>
      <c r="L6" s="98"/>
      <c r="M6" s="99"/>
      <c r="N6" s="98"/>
      <c r="O6" s="99"/>
      <c r="P6" s="98"/>
      <c r="Q6" s="99"/>
      <c r="R6" s="98"/>
      <c r="S6" s="99"/>
      <c r="T6" s="98"/>
      <c r="U6" s="99"/>
      <c r="V6" s="98"/>
      <c r="W6" s="99"/>
      <c r="X6" s="98"/>
      <c r="Y6" s="99"/>
      <c r="Z6" s="98"/>
      <c r="AA6" s="99"/>
      <c r="AB6" s="98"/>
      <c r="AC6" s="99"/>
      <c r="AD6" s="98"/>
      <c r="AE6" s="99"/>
    </row>
    <row r="7" spans="1:32" ht="29.65" customHeight="1" x14ac:dyDescent="0.45">
      <c r="B7" s="21" t="s">
        <v>29</v>
      </c>
      <c r="C7" s="60">
        <v>1</v>
      </c>
      <c r="D7" s="98"/>
      <c r="E7" s="99"/>
      <c r="F7" s="98"/>
      <c r="G7" s="99"/>
      <c r="H7" s="98"/>
      <c r="I7" s="99"/>
      <c r="J7" s="98"/>
      <c r="K7" s="99"/>
      <c r="L7" s="98"/>
      <c r="M7" s="99"/>
      <c r="N7" s="98"/>
      <c r="O7" s="99"/>
      <c r="P7" s="98"/>
      <c r="Q7" s="99"/>
      <c r="R7" s="98"/>
      <c r="S7" s="99"/>
      <c r="T7" s="98"/>
      <c r="U7" s="99"/>
      <c r="V7" s="98"/>
      <c r="W7" s="99"/>
      <c r="X7" s="98"/>
      <c r="Y7" s="99"/>
      <c r="Z7" s="98"/>
      <c r="AA7" s="99"/>
      <c r="AB7" s="98"/>
      <c r="AC7" s="99"/>
      <c r="AD7" s="98"/>
      <c r="AE7" s="99"/>
    </row>
    <row r="8" spans="1:32" ht="29.65" customHeight="1" x14ac:dyDescent="0.45">
      <c r="B8" s="21" t="s">
        <v>30</v>
      </c>
      <c r="C8" s="60">
        <v>1</v>
      </c>
      <c r="D8" s="98"/>
      <c r="E8" s="99"/>
      <c r="F8" s="98"/>
      <c r="G8" s="99"/>
      <c r="H8" s="98"/>
      <c r="I8" s="99"/>
      <c r="J8" s="98"/>
      <c r="K8" s="99"/>
      <c r="L8" s="98"/>
      <c r="M8" s="99"/>
      <c r="N8" s="98"/>
      <c r="O8" s="99"/>
      <c r="P8" s="98"/>
      <c r="Q8" s="99"/>
      <c r="R8" s="98"/>
      <c r="S8" s="99"/>
      <c r="T8" s="98"/>
      <c r="U8" s="99"/>
      <c r="V8" s="98"/>
      <c r="W8" s="99"/>
      <c r="X8" s="98"/>
      <c r="Y8" s="99"/>
      <c r="Z8" s="98"/>
      <c r="AA8" s="99"/>
      <c r="AB8" s="98"/>
      <c r="AC8" s="99"/>
      <c r="AD8" s="98"/>
      <c r="AE8" s="99"/>
    </row>
    <row r="9" spans="1:32" ht="29.65" customHeight="1" x14ac:dyDescent="0.45">
      <c r="B9" s="21" t="s">
        <v>31</v>
      </c>
      <c r="C9" s="60">
        <v>1</v>
      </c>
      <c r="D9" s="98"/>
      <c r="E9" s="99"/>
      <c r="F9" s="98"/>
      <c r="G9" s="99"/>
      <c r="H9" s="98"/>
      <c r="I9" s="99"/>
      <c r="J9" s="98"/>
      <c r="K9" s="99"/>
      <c r="L9" s="98"/>
      <c r="M9" s="99"/>
      <c r="N9" s="98"/>
      <c r="O9" s="99"/>
      <c r="P9" s="98"/>
      <c r="Q9" s="99"/>
      <c r="R9" s="98"/>
      <c r="S9" s="99"/>
      <c r="T9" s="98"/>
      <c r="U9" s="99"/>
      <c r="V9" s="98"/>
      <c r="W9" s="99"/>
      <c r="X9" s="98"/>
      <c r="Y9" s="99"/>
      <c r="Z9" s="98"/>
      <c r="AA9" s="99"/>
      <c r="AB9" s="98"/>
      <c r="AC9" s="99"/>
      <c r="AD9" s="98"/>
      <c r="AE9" s="99"/>
    </row>
    <row r="10" spans="1:32" ht="29.65" customHeight="1" x14ac:dyDescent="0.45">
      <c r="B10" s="21" t="s">
        <v>32</v>
      </c>
      <c r="C10" s="60">
        <v>1</v>
      </c>
      <c r="D10" s="98"/>
      <c r="E10" s="99"/>
      <c r="F10" s="98"/>
      <c r="G10" s="99"/>
      <c r="H10" s="98"/>
      <c r="I10" s="99"/>
      <c r="J10" s="98"/>
      <c r="K10" s="99"/>
      <c r="L10" s="98"/>
      <c r="M10" s="99"/>
      <c r="N10" s="98"/>
      <c r="O10" s="99"/>
      <c r="P10" s="98"/>
      <c r="Q10" s="99"/>
      <c r="R10" s="98"/>
      <c r="S10" s="99"/>
      <c r="T10" s="98"/>
      <c r="U10" s="99"/>
      <c r="V10" s="98"/>
      <c r="W10" s="99"/>
      <c r="X10" s="98"/>
      <c r="Y10" s="99"/>
      <c r="Z10" s="98"/>
      <c r="AA10" s="99"/>
      <c r="AB10" s="98"/>
      <c r="AC10" s="99"/>
      <c r="AD10" s="98"/>
      <c r="AE10" s="99"/>
    </row>
    <row r="11" spans="1:32" x14ac:dyDescent="0.45">
      <c r="B11" s="22"/>
      <c r="C11" s="61"/>
      <c r="D11" s="100"/>
      <c r="E11" s="101"/>
      <c r="F11" s="100"/>
      <c r="G11" s="101"/>
      <c r="H11" s="100"/>
      <c r="I11" s="101"/>
      <c r="J11" s="100"/>
      <c r="K11" s="101"/>
      <c r="L11" s="100"/>
      <c r="M11" s="101"/>
      <c r="N11" s="100"/>
      <c r="O11" s="101"/>
      <c r="P11" s="100"/>
      <c r="Q11" s="101"/>
      <c r="R11" s="100"/>
      <c r="S11" s="101"/>
      <c r="T11" s="100"/>
      <c r="U11" s="101"/>
      <c r="V11" s="100"/>
      <c r="W11" s="101"/>
      <c r="X11" s="100"/>
      <c r="Y11" s="101"/>
      <c r="Z11" s="100"/>
      <c r="AA11" s="101"/>
      <c r="AB11" s="100"/>
      <c r="AC11" s="101"/>
      <c r="AD11" s="100"/>
      <c r="AE11" s="101"/>
    </row>
    <row r="12" spans="1:32" x14ac:dyDescent="0.45">
      <c r="B12" s="96" t="s">
        <v>75</v>
      </c>
      <c r="C12" s="96"/>
      <c r="D12" s="97">
        <f>AVERAGE(D4:D11)</f>
        <v>0</v>
      </c>
      <c r="E12" s="97"/>
      <c r="F12" s="97">
        <f>AVERAGE(F4:F11)</f>
        <v>0</v>
      </c>
      <c r="G12" s="97"/>
      <c r="H12" s="97">
        <f>AVERAGE(H4:H11)</f>
        <v>0</v>
      </c>
      <c r="I12" s="97"/>
      <c r="J12" s="97">
        <f>AVERAGE(J4:J11)</f>
        <v>0</v>
      </c>
      <c r="K12" s="97"/>
      <c r="L12" s="97">
        <f>AVERAGE(L4:L11)</f>
        <v>0</v>
      </c>
      <c r="M12" s="97"/>
      <c r="N12" s="97">
        <f>AVERAGE(N4:N11)</f>
        <v>0</v>
      </c>
      <c r="O12" s="97"/>
      <c r="P12" s="97">
        <f>AVERAGE(P4:P11)</f>
        <v>0</v>
      </c>
      <c r="Q12" s="97"/>
      <c r="R12" s="97">
        <f>AVERAGE(R4:R11)</f>
        <v>0</v>
      </c>
      <c r="S12" s="97"/>
      <c r="T12" s="97">
        <f>AVERAGE(T4:T11)</f>
        <v>0</v>
      </c>
      <c r="U12" s="97"/>
      <c r="V12" s="97">
        <f>AVERAGE(V4:V11)</f>
        <v>0</v>
      </c>
      <c r="W12" s="97"/>
      <c r="X12" s="97">
        <f>AVERAGE(X4:X11)</f>
        <v>0</v>
      </c>
      <c r="Y12" s="97"/>
      <c r="Z12" s="97">
        <f>AVERAGE(Z4:Z11)</f>
        <v>0</v>
      </c>
      <c r="AA12" s="97"/>
      <c r="AB12" s="97">
        <f>AVERAGE(AB4:AB11)</f>
        <v>0</v>
      </c>
      <c r="AC12" s="97"/>
      <c r="AD12" s="97">
        <f>AVERAGE(AD4:AD11)</f>
        <v>0</v>
      </c>
      <c r="AE12" s="97"/>
    </row>
    <row r="13" spans="1:32" x14ac:dyDescent="0.45">
      <c r="B13" s="87" t="s">
        <v>86</v>
      </c>
      <c r="C13" s="87"/>
    </row>
    <row r="14" spans="1:32" x14ac:dyDescent="0.45">
      <c r="B14" s="88"/>
      <c r="C14" s="88"/>
    </row>
    <row r="15" spans="1:32" x14ac:dyDescent="0.45">
      <c r="B15" s="88"/>
      <c r="C15" s="88"/>
    </row>
    <row r="16" spans="1:32" x14ac:dyDescent="0.45">
      <c r="B16" s="88"/>
      <c r="C16" s="88"/>
    </row>
    <row r="17" spans="2:3" x14ac:dyDescent="0.45">
      <c r="B17" s="88"/>
      <c r="C17" s="88"/>
    </row>
  </sheetData>
  <mergeCells count="30">
    <mergeCell ref="V12:W12"/>
    <mergeCell ref="X12:Y12"/>
    <mergeCell ref="Z12:AA12"/>
    <mergeCell ref="AD12:AE12"/>
    <mergeCell ref="AB12:AC12"/>
    <mergeCell ref="L12:M12"/>
    <mergeCell ref="N12:O12"/>
    <mergeCell ref="P12:Q12"/>
    <mergeCell ref="R12:S12"/>
    <mergeCell ref="T12:U12"/>
    <mergeCell ref="L2:M2"/>
    <mergeCell ref="X2:Y2"/>
    <mergeCell ref="Z2:AA2"/>
    <mergeCell ref="AD2:AE2"/>
    <mergeCell ref="N2:O2"/>
    <mergeCell ref="P2:Q2"/>
    <mergeCell ref="R2:S2"/>
    <mergeCell ref="T2:U2"/>
    <mergeCell ref="V2:W2"/>
    <mergeCell ref="AB2:AC2"/>
    <mergeCell ref="B13:C17"/>
    <mergeCell ref="D2:E2"/>
    <mergeCell ref="F2:G2"/>
    <mergeCell ref="H2:I2"/>
    <mergeCell ref="J2:K2"/>
    <mergeCell ref="B12:C12"/>
    <mergeCell ref="D12:E12"/>
    <mergeCell ref="F12:G12"/>
    <mergeCell ref="H12:I12"/>
    <mergeCell ref="J12:K12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E1713968-5067-44EB-AFE2-753C3C95CE0A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C4:C11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Calificacion</vt:lpstr>
      <vt:lpstr>TecnicoRequerido</vt:lpstr>
      <vt:lpstr>Normativo</vt:lpstr>
      <vt:lpstr>GeotecnicoAmbientalSocial</vt:lpstr>
      <vt:lpstr>Territorial</vt:lpstr>
      <vt:lpstr>Calificacion!Print_Area</vt:lpstr>
      <vt:lpstr>GeotecnicoAmbientalSocial!Print_Area</vt:lpstr>
      <vt:lpstr>Normativo!Print_Area</vt:lpstr>
      <vt:lpstr>TecnicoRequerido!Print_Area</vt:lpstr>
      <vt:lpstr>Territorial!Print_Area</vt:lpstr>
      <vt:lpstr>Calificacion!Print_Titles</vt:lpstr>
      <vt:lpstr>GeotecnicoAmbientalSocial!Print_Titles</vt:lpstr>
      <vt:lpstr>Normativo!Print_Titles</vt:lpstr>
      <vt:lpstr>TecnicoRequerido!Print_Titles</vt:lpstr>
      <vt:lpstr>Territorial!Print_Titles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2024-08-11T14:21:50Z</cp:lastPrinted>
  <dcterms:created xsi:type="dcterms:W3CDTF">2018-11-28T14:19:17Z</dcterms:created>
  <dcterms:modified xsi:type="dcterms:W3CDTF">2025-08-04T14:10:45Z</dcterms:modified>
</cp:coreProperties>
</file>