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2\"/>
    </mc:Choice>
  </mc:AlternateContent>
  <xr:revisionPtr revIDLastSave="0" documentId="13_ncr:1_{DBD15384-417E-4DFF-9299-A330A0D579E2}" xr6:coauthVersionLast="47" xr6:coauthVersionMax="47" xr10:uidLastSave="{00000000-0000-0000-0000-000000000000}"/>
  <bookViews>
    <workbookView xWindow="-108" yWindow="-108" windowWidth="30936" windowHeight="16776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0">Calificacion!$B$2:$F$20</definedName>
    <definedName name="_xlnm.Print_Area" localSheetId="1">Detalle!$B$1:$V$23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2" l="1"/>
  <c r="F17" i="12" s="1"/>
  <c r="D16" i="12"/>
  <c r="F16" i="12" s="1"/>
  <c r="D18" i="12"/>
  <c r="F18" i="12" s="1"/>
  <c r="FW2" i="10"/>
  <c r="B19" i="12"/>
  <c r="B1" i="10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D5" i="12"/>
  <c r="F5" i="12" s="1"/>
  <c r="I7" i="10"/>
  <c r="F6" i="10"/>
  <c r="F7" i="10"/>
  <c r="F9" i="10"/>
  <c r="F10" i="10"/>
  <c r="F5" i="10"/>
  <c r="F12" i="10"/>
  <c r="F13" i="10"/>
  <c r="F4" i="10"/>
  <c r="E6" i="10"/>
  <c r="E7" i="10"/>
  <c r="E9" i="10"/>
  <c r="E10" i="10"/>
  <c r="E5" i="10"/>
  <c r="E12" i="10"/>
  <c r="E13" i="10"/>
  <c r="E4" i="10"/>
  <c r="FJ2" i="10"/>
  <c r="EW2" i="10"/>
  <c r="EJ2" i="10"/>
  <c r="DJ2" i="10"/>
  <c r="CW2" i="10"/>
  <c r="CJ2" i="10"/>
  <c r="BW2" i="10"/>
  <c r="BJ2" i="10"/>
  <c r="AW2" i="10"/>
  <c r="AJ2" i="10"/>
  <c r="W2" i="10"/>
  <c r="J2" i="10"/>
  <c r="I6" i="10"/>
  <c r="I8" i="10"/>
  <c r="I9" i="10"/>
  <c r="I10" i="10"/>
  <c r="I11" i="10"/>
  <c r="I5" i="10"/>
  <c r="I4" i="10"/>
  <c r="DW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3202E4B7-8E9C-4DE3-A066-9E782982AF04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G3" authorId="0" shapeId="0" xr:uid="{ABE34329-1CB2-4217-8698-C3888BFA2C2C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H3" authorId="0" shapeId="0" xr:uid="{499DD635-C4C7-4A48-BC68-0C5E2B8C0B28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</commentList>
</comments>
</file>

<file path=xl/sharedStrings.xml><?xml version="1.0" encoding="utf-8"?>
<sst xmlns="http://schemas.openxmlformats.org/spreadsheetml/2006/main" count="243" uniqueCount="68">
  <si>
    <t>J4660</t>
  </si>
  <si>
    <t>J4682</t>
  </si>
  <si>
    <t>W19610</t>
  </si>
  <si>
    <t>Punto</t>
  </si>
  <si>
    <t>Descripción</t>
  </si>
  <si>
    <t>Duración lluvia, H</t>
  </si>
  <si>
    <t>Fa, Factor atenuación</t>
  </si>
  <si>
    <t>Área, km²</t>
  </si>
  <si>
    <t>Q2.33, m³/s</t>
  </si>
  <si>
    <t>Q5, m³/s</t>
  </si>
  <si>
    <t>Q10, m³/s</t>
  </si>
  <si>
    <t>Q25, m³/s</t>
  </si>
  <si>
    <t>Q50, m³/s</t>
  </si>
  <si>
    <t>Q100, m³/s</t>
  </si>
  <si>
    <t>Inicio canal</t>
  </si>
  <si>
    <t>Entrega</t>
  </si>
  <si>
    <t>J4685</t>
  </si>
  <si>
    <t>SINK-1</t>
  </si>
  <si>
    <t>Nodo descarga cauce lateral 1</t>
  </si>
  <si>
    <t>Nodo descarga cauce lateral 2</t>
  </si>
  <si>
    <t>Qm, m³/s</t>
  </si>
  <si>
    <t>Calificación</t>
  </si>
  <si>
    <t>Código</t>
  </si>
  <si>
    <t>Cuenca lateral 2 Fa independiente (Área original HMS = 15.195 km²)</t>
  </si>
  <si>
    <t>Cuenca lateral 2 Fa combinado con J4682 (Área original HMS = 15.195 km²)</t>
  </si>
  <si>
    <t>Modelo HEC-HMS comprimido y cargado</t>
  </si>
  <si>
    <t>Valores de referencia</t>
  </si>
  <si>
    <t>Hietogramas en repositorio</t>
  </si>
  <si>
    <t>Observaciones &gt;&gt;</t>
  </si>
  <si>
    <t>Notas: Valores en rojo corresponden a elementos que deben completados, revisados, ajustados y/o recalculados.</t>
  </si>
  <si>
    <t>Capturas detalladas del procedimiento de estimación de los caudales medios por estadística zonal</t>
  </si>
  <si>
    <t>Registro de valores de diseño en libro de parámetros</t>
  </si>
  <si>
    <t>W19560</t>
  </si>
  <si>
    <t>W19520</t>
  </si>
  <si>
    <t>Cuenca huérfana con intervención minera que debe ser incorporada a uno de los nodos de entrada de cauces laterales. (opcional si al nodo J4682 se le descontó esta área)</t>
  </si>
  <si>
    <t>Fa 6hr</t>
  </si>
  <si>
    <t>Fa 9h</t>
  </si>
  <si>
    <t>Cuenca escorrentía directa (opcional si esta área se descuenta del nodo J4660 y si se considera que la escorrentía entra directa al cauce o a través de un nuevo punto - Se recomienda descarga en J4660)</t>
  </si>
  <si>
    <t>R19120 + W19690</t>
  </si>
  <si>
    <t>Cuenca lateral 1 Fa independiente (Área original HMS = 37.472 km²). Se deben leer y sumar los valores del tramo R19120 y la subcuenca W19690.</t>
  </si>
  <si>
    <t>Cuenca lateral 1 Fa combinado con J4660 (Área original HMS = 37.472 km²). Se deben leer y sumar los valores del tramo R19120 y la subcuenca W19690.</t>
  </si>
  <si>
    <t>Precip. media, mm</t>
  </si>
  <si>
    <t>Evap. media, mm</t>
  </si>
  <si>
    <t>Calificación final</t>
  </si>
  <si>
    <t>Calificación profesor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</si>
  <si>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</si>
  <si>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</si>
  <si>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</si>
  <si>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</si>
  <si>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</si>
  <si>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</si>
  <si>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</si>
  <si>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</si>
  <si>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</si>
  <si>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</si>
  <si>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</si>
  <si>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</si>
  <si>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</si>
  <si>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</si>
  <si>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</si>
  <si>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M01A02</t>
  </si>
  <si>
    <t>Calificación 1.2. Modelación hidrológica para obtención de caudales de diseño e hidrogramas para tránsito de crecientes</t>
  </si>
  <si>
    <t>Crear la capa geográfica shapefile de localización de puntos de estudio.</t>
  </si>
  <si>
    <t>Libro R.HCMC.PuntoEstudio.xlsx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</si>
  <si>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</si>
  <si>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Varios</t>
  </si>
  <si>
    <t>Grupo 14</t>
  </si>
  <si>
    <t>Q Ecológico, m³/s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</si>
</sst>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9"/>
      <color indexed="81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1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164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5" applyNumberFormat="0" applyFill="0" applyAlignment="0" applyProtection="0"/>
    <xf numFmtId="0" fontId="14" fillId="0" borderId="16" applyNumberFormat="0" applyFill="0" applyAlignment="0" applyProtection="0"/>
    <xf numFmtId="0" fontId="15" fillId="0" borderId="1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7" borderId="18" applyNumberFormat="0" applyAlignment="0" applyProtection="0"/>
    <xf numFmtId="0" fontId="19" fillId="8" borderId="19" applyNumberFormat="0" applyAlignment="0" applyProtection="0"/>
    <xf numFmtId="0" fontId="20" fillId="8" borderId="18" applyNumberFormat="0" applyAlignment="0" applyProtection="0"/>
    <xf numFmtId="0" fontId="21" fillId="0" borderId="20" applyNumberFormat="0" applyFill="0" applyAlignment="0" applyProtection="0"/>
    <xf numFmtId="0" fontId="22" fillId="9" borderId="21" applyNumberFormat="0" applyAlignment="0" applyProtection="0"/>
    <xf numFmtId="0" fontId="23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4" fillId="0" borderId="0" applyNumberFormat="0" applyFill="0" applyBorder="0" applyAlignment="0" applyProtection="0"/>
    <xf numFmtId="0" fontId="25" fillId="0" borderId="23" applyNumberFormat="0" applyFill="0" applyAlignment="0" applyProtection="0"/>
    <xf numFmtId="0" fontId="2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6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6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26" borderId="0" applyNumberFormat="0" applyBorder="0" applyAlignment="0" applyProtection="0"/>
    <xf numFmtId="0" fontId="26" fillId="30" borderId="0" applyNumberFormat="0" applyBorder="0" applyAlignment="0" applyProtection="0"/>
    <xf numFmtId="0" fontId="26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5" fillId="0" borderId="0" xfId="3" applyFont="1" applyAlignment="1">
      <alignment horizontal="right" vertical="top"/>
    </xf>
    <xf numFmtId="0" fontId="5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2" fontId="5" fillId="0" borderId="1" xfId="0" applyNumberFormat="1" applyFont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 wrapText="1"/>
      <protection locked="0"/>
    </xf>
    <xf numFmtId="2" fontId="5" fillId="0" borderId="6" xfId="0" applyNumberFormat="1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2" fontId="5" fillId="0" borderId="1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/>
      <protection locked="0"/>
    </xf>
    <xf numFmtId="2" fontId="5" fillId="0" borderId="1" xfId="0" applyNumberFormat="1" applyFont="1" applyBorder="1" applyAlignment="1" applyProtection="1">
      <alignment horizontal="left" vertical="top"/>
      <protection locked="0"/>
    </xf>
    <xf numFmtId="2" fontId="5" fillId="0" borderId="11" xfId="0" applyNumberFormat="1" applyFont="1" applyBorder="1" applyAlignment="1" applyProtection="1">
      <alignment horizontal="left" vertical="top"/>
      <protection locked="0"/>
    </xf>
    <xf numFmtId="0" fontId="5" fillId="0" borderId="0" xfId="0" applyFont="1" applyAlignment="1">
      <alignment horizontal="left" vertical="top"/>
    </xf>
    <xf numFmtId="0" fontId="5" fillId="2" borderId="12" xfId="0" applyFont="1" applyFill="1" applyBorder="1" applyAlignment="1">
      <alignment horizontal="center" vertical="top" wrapText="1"/>
    </xf>
    <xf numFmtId="2" fontId="5" fillId="0" borderId="8" xfId="0" applyNumberFormat="1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10" fillId="0" borderId="0" xfId="5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29" fillId="0" borderId="0" xfId="0" applyFont="1" applyAlignment="1">
      <alignment horizontal="right" vertical="top"/>
    </xf>
    <xf numFmtId="2" fontId="5" fillId="0" borderId="9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2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left" vertical="top"/>
      <protection locked="0"/>
    </xf>
    <xf numFmtId="2" fontId="11" fillId="0" borderId="12" xfId="0" applyNumberFormat="1" applyFont="1" applyBorder="1" applyAlignment="1" applyProtection="1">
      <alignment horizontal="left" vertical="top"/>
      <protection locked="0"/>
    </xf>
    <xf numFmtId="2" fontId="11" fillId="0" borderId="1" xfId="0" applyNumberFormat="1" applyFont="1" applyBorder="1" applyAlignment="1">
      <alignment horizontal="left" vertical="top"/>
    </xf>
    <xf numFmtId="2" fontId="11" fillId="0" borderId="1" xfId="0" applyNumberFormat="1" applyFont="1" applyBorder="1" applyAlignment="1" applyProtection="1">
      <alignment horizontal="left" vertical="top"/>
      <protection locked="0"/>
    </xf>
    <xf numFmtId="2" fontId="11" fillId="0" borderId="6" xfId="0" applyNumberFormat="1" applyFont="1" applyBorder="1" applyAlignment="1">
      <alignment horizontal="left" vertical="top"/>
    </xf>
    <xf numFmtId="165" fontId="5" fillId="2" borderId="5" xfId="0" applyNumberFormat="1" applyFont="1" applyFill="1" applyBorder="1" applyAlignment="1" applyProtection="1">
      <alignment horizontal="left" vertical="top" wrapText="1"/>
      <protection locked="0"/>
    </xf>
    <xf numFmtId="2" fontId="5" fillId="2" borderId="1" xfId="0" applyNumberFormat="1" applyFont="1" applyFill="1" applyBorder="1" applyAlignment="1" applyProtection="1">
      <alignment horizontal="left" vertical="top" wrapText="1"/>
      <protection locked="0"/>
    </xf>
    <xf numFmtId="2" fontId="11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" xfId="0" applyNumberFormat="1" applyFont="1" applyFill="1" applyBorder="1" applyAlignment="1">
      <alignment horizontal="center" vertical="top" wrapText="1"/>
    </xf>
    <xf numFmtId="2" fontId="5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1" xfId="0" applyNumberFormat="1" applyFont="1" applyFill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30" fillId="0" borderId="0" xfId="5" applyFont="1" applyBorder="1" applyAlignment="1">
      <alignment horizontal="lef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11" fillId="0" borderId="29" xfId="0" applyFont="1" applyBorder="1" applyAlignment="1">
      <alignment horizontal="left" vertical="top" wrapText="1"/>
    </xf>
    <xf numFmtId="0" fontId="11" fillId="0" borderId="26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vertical="top" wrapText="1"/>
    </xf>
    <xf numFmtId="0" fontId="11" fillId="0" borderId="28" xfId="0" applyFont="1" applyBorder="1" applyAlignment="1">
      <alignment horizontal="left" vertical="top" wrapText="1"/>
    </xf>
    <xf numFmtId="0" fontId="11" fillId="0" borderId="30" xfId="0" applyFont="1" applyBorder="1" applyAlignment="1">
      <alignment horizontal="left" vertical="top" wrapText="1"/>
    </xf>
    <xf numFmtId="2" fontId="11" fillId="2" borderId="24" xfId="0" applyNumberFormat="1" applyFont="1" applyFill="1" applyBorder="1" applyAlignment="1">
      <alignment horizontal="center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/>
    </xf>
    <xf numFmtId="0" fontId="5" fillId="2" borderId="10" xfId="0" applyFont="1" applyFill="1" applyBorder="1" applyAlignment="1">
      <alignment horizontal="center" vertical="top"/>
    </xf>
    <xf numFmtId="165" fontId="5" fillId="3" borderId="27" xfId="0" applyNumberFormat="1" applyFont="1" applyFill="1" applyBorder="1" applyAlignment="1">
      <alignment horizontal="right" vertical="top" wrapText="1"/>
    </xf>
    <xf numFmtId="165" fontId="5" fillId="3" borderId="28" xfId="0" applyNumberFormat="1" applyFont="1" applyFill="1" applyBorder="1" applyAlignment="1">
      <alignment horizontal="right" vertical="top" wrapText="1"/>
    </xf>
    <xf numFmtId="0" fontId="7" fillId="0" borderId="25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165" fontId="5" fillId="2" borderId="24" xfId="0" applyNumberFormat="1" applyFont="1" applyFill="1" applyBorder="1" applyAlignment="1">
      <alignment horizontal="left" vertical="top" wrapText="1"/>
    </xf>
  </cellXfs>
  <cellStyles count="51">
    <cellStyle name="20% - Accent1" xfId="23" builtinId="30" customBuiltin="1"/>
    <cellStyle name="20% - Accent2" xfId="26" builtinId="34" customBuiltin="1"/>
    <cellStyle name="20% - Accent3" xfId="29" builtinId="38" customBuiltin="1"/>
    <cellStyle name="20% - Accent4" xfId="32" builtinId="42" customBuiltin="1"/>
    <cellStyle name="20% - Accent5" xfId="35" builtinId="46" customBuiltin="1"/>
    <cellStyle name="20% - Accent6" xfId="38" builtinId="50" customBuiltin="1"/>
    <cellStyle name="40% - Accent1" xfId="24" builtinId="31" customBuiltin="1"/>
    <cellStyle name="40% - Accent2" xfId="27" builtinId="35" customBuiltin="1"/>
    <cellStyle name="40% - Accent3" xfId="30" builtinId="39" customBuiltin="1"/>
    <cellStyle name="40% - Accent4" xfId="33" builtinId="43" customBuiltin="1"/>
    <cellStyle name="40% - Accent5" xfId="36" builtinId="47" customBuiltin="1"/>
    <cellStyle name="40% - Accent6" xfId="39" builtinId="51" customBuiltin="1"/>
    <cellStyle name="60% - Accent1 2" xfId="41" xr:uid="{4C645ACF-ABF1-4272-A463-2D82178495C9}"/>
    <cellStyle name="60% - Accent2 2" xfId="42" xr:uid="{4B8F1043-73D2-4B93-9064-BB8D9FDEA04C}"/>
    <cellStyle name="60% - Accent3 2" xfId="43" xr:uid="{303C55FE-2279-4C34-AF67-A48D6ED343A4}"/>
    <cellStyle name="60% - Accent4 2" xfId="44" xr:uid="{1DFC857C-7D15-4B66-A6B6-A13174C126F3}"/>
    <cellStyle name="60% - Accent5 2" xfId="45" xr:uid="{CE564E57-8440-4804-9E12-DF867AFAFA39}"/>
    <cellStyle name="60% - Accent6 2" xfId="46" xr:uid="{A20F18B2-A986-46E3-8B9C-49D21DFC3E07}"/>
    <cellStyle name="Accent1" xfId="22" builtinId="29" customBuiltin="1"/>
    <cellStyle name="Accent2" xfId="25" builtinId="33" customBuiltin="1"/>
    <cellStyle name="Accent3" xfId="28" builtinId="37" customBuiltin="1"/>
    <cellStyle name="Accent4" xfId="31" builtinId="41" customBuiltin="1"/>
    <cellStyle name="Accent5" xfId="34" builtinId="45" customBuiltin="1"/>
    <cellStyle name="Accent6" xfId="37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 2" xfId="47" xr:uid="{84E84E95-56EF-489B-9D0D-6478E20F7A7E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ipervínculo 2" xfId="1" xr:uid="{31AB4584-48B5-483C-8AA6-C2DF10B27C24}"/>
    <cellStyle name="Hyperlink" xfId="5" builtinId="8"/>
    <cellStyle name="Input" xfId="13" builtinId="20" customBuiltin="1"/>
    <cellStyle name="Linked Cell" xfId="16" builtinId="24" customBuiltin="1"/>
    <cellStyle name="Millares 2" xfId="4" xr:uid="{B2346456-3EA3-414B-995D-FAA581EEA6A8}"/>
    <cellStyle name="Millares 2 2" xfId="50" xr:uid="{EA953803-53FD-42B4-A68A-70A3918875CC}"/>
    <cellStyle name="Millares 2 3" xfId="48" xr:uid="{2C41A56C-C76D-483D-82DC-038ADB67F9E0}"/>
    <cellStyle name="Neutral 2" xfId="40" xr:uid="{DF497201-729F-497B-90BB-9104B2138F39}"/>
    <cellStyle name="Normal" xfId="0" builtinId="0"/>
    <cellStyle name="Normal 2" xfId="3" xr:uid="{5BE8A7FD-F8F9-4363-89EA-43A3CEB9DCAE}"/>
    <cellStyle name="Normal 3" xfId="2" xr:uid="{1BD222BC-86EE-4D01-AA8D-83508C777D9B}"/>
    <cellStyle name="Note" xfId="19" builtinId="10" customBuiltin="1"/>
    <cellStyle name="Output" xfId="14" builtinId="21" customBuiltin="1"/>
    <cellStyle name="Porcentaje 2" xfId="49" xr:uid="{8BD4044C-C24E-4474-86A5-5A554CA7A9B1}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 1.2. Modelación hidrológica para obtención de caudales de diseño e hidrogramas para tránsito de crecientes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23993655978493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14882</xdr:rowOff>
    </xdr:from>
    <xdr:to>
      <xdr:col>14</xdr:col>
      <xdr:colOff>149689</xdr:colOff>
      <xdr:row>18</xdr:row>
      <xdr:rowOff>93772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/>
  </sheetViews>
  <sheetFormatPr defaultColWidth="11.33203125" defaultRowHeight="15" x14ac:dyDescent="0.3"/>
  <cols>
    <col min="1" max="1" width="2.6640625" style="17" customWidth="1"/>
    <col min="2" max="2" width="13.33203125" style="17" customWidth="1"/>
    <col min="3" max="4" width="11.44140625" style="17" customWidth="1"/>
    <col min="5" max="5" width="12.77734375" style="17" customWidth="1"/>
    <col min="6" max="6" width="11.44140625" style="17" customWidth="1"/>
    <col min="7" max="7" width="2.6640625" style="17" customWidth="1"/>
    <col min="8" max="16384" width="11.33203125" style="17"/>
  </cols>
  <sheetData>
    <row r="1" spans="2:6" x14ac:dyDescent="0.3">
      <c r="F1" s="35" t="s">
        <v>60</v>
      </c>
    </row>
    <row r="2" spans="2:6" ht="14.25" customHeight="1" x14ac:dyDescent="0.3">
      <c r="B2" s="51" t="s">
        <v>61</v>
      </c>
      <c r="C2" s="51"/>
      <c r="D2" s="51"/>
      <c r="E2" s="51"/>
      <c r="F2" s="51"/>
    </row>
    <row r="3" spans="2:6" ht="16.5" customHeight="1" x14ac:dyDescent="0.3">
      <c r="B3" s="52"/>
      <c r="C3" s="52"/>
      <c r="D3" s="52"/>
      <c r="E3" s="52"/>
      <c r="F3" s="52"/>
    </row>
    <row r="4" spans="2:6" ht="32.25" customHeight="1" x14ac:dyDescent="0.3">
      <c r="B4" s="29" t="s">
        <v>22</v>
      </c>
      <c r="C4" s="30" t="s">
        <v>50</v>
      </c>
      <c r="D4" s="30" t="s">
        <v>44</v>
      </c>
      <c r="E4" s="30" t="s">
        <v>51</v>
      </c>
      <c r="F4" s="31" t="s">
        <v>43</v>
      </c>
    </row>
    <row r="5" spans="2:6" x14ac:dyDescent="0.3">
      <c r="B5" s="18" t="s">
        <v>45</v>
      </c>
      <c r="C5" s="33">
        <v>5</v>
      </c>
      <c r="D5" s="10">
        <f>Detalle!J23*C5/5</f>
        <v>0</v>
      </c>
      <c r="E5" s="33"/>
      <c r="F5" s="13">
        <f>AVERAGE(D5:E5)</f>
        <v>0</v>
      </c>
    </row>
    <row r="6" spans="2:6" x14ac:dyDescent="0.3">
      <c r="B6" s="18" t="s">
        <v>46</v>
      </c>
      <c r="C6" s="33">
        <v>5</v>
      </c>
      <c r="D6" s="10">
        <f>Detalle!W23*C6/5</f>
        <v>0</v>
      </c>
      <c r="E6" s="33"/>
      <c r="F6" s="13">
        <f t="shared" ref="F6:F17" si="0">AVERAGE(D6:E6)</f>
        <v>0</v>
      </c>
    </row>
    <row r="7" spans="2:6" x14ac:dyDescent="0.3">
      <c r="B7" s="18" t="s">
        <v>47</v>
      </c>
      <c r="C7" s="33">
        <v>5</v>
      </c>
      <c r="D7" s="10">
        <f>Detalle!AJ23*C7/5</f>
        <v>0</v>
      </c>
      <c r="E7" s="33"/>
      <c r="F7" s="13">
        <f t="shared" si="0"/>
        <v>0</v>
      </c>
    </row>
    <row r="8" spans="2:6" x14ac:dyDescent="0.3">
      <c r="B8" s="18" t="s">
        <v>48</v>
      </c>
      <c r="C8" s="33">
        <v>5</v>
      </c>
      <c r="D8" s="10">
        <f>Detalle!AW23*C8/5</f>
        <v>0</v>
      </c>
      <c r="E8" s="33"/>
      <c r="F8" s="13">
        <f t="shared" si="0"/>
        <v>0</v>
      </c>
    </row>
    <row r="9" spans="2:6" x14ac:dyDescent="0.3">
      <c r="B9" s="18" t="s">
        <v>49</v>
      </c>
      <c r="C9" s="33">
        <v>5</v>
      </c>
      <c r="D9" s="10">
        <f>Detalle!BJ23*C9/5</f>
        <v>0</v>
      </c>
      <c r="E9" s="33"/>
      <c r="F9" s="13">
        <f t="shared" si="0"/>
        <v>0</v>
      </c>
    </row>
    <row r="10" spans="2:6" x14ac:dyDescent="0.3">
      <c r="B10" s="18" t="s">
        <v>52</v>
      </c>
      <c r="C10" s="33">
        <v>5</v>
      </c>
      <c r="D10" s="10">
        <f>Detalle!BW23*C10/5</f>
        <v>0</v>
      </c>
      <c r="E10" s="33"/>
      <c r="F10" s="13">
        <f t="shared" si="0"/>
        <v>0</v>
      </c>
    </row>
    <row r="11" spans="2:6" x14ac:dyDescent="0.3">
      <c r="B11" s="18" t="s">
        <v>53</v>
      </c>
      <c r="C11" s="33">
        <v>5</v>
      </c>
      <c r="D11" s="10">
        <f>Detalle!CJ23*C11/5</f>
        <v>0</v>
      </c>
      <c r="E11" s="33"/>
      <c r="F11" s="13">
        <f t="shared" si="0"/>
        <v>0</v>
      </c>
    </row>
    <row r="12" spans="2:6" x14ac:dyDescent="0.3">
      <c r="B12" s="18" t="s">
        <v>54</v>
      </c>
      <c r="C12" s="33">
        <v>5</v>
      </c>
      <c r="D12" s="10">
        <f>Detalle!CW23*C12/5</f>
        <v>0</v>
      </c>
      <c r="E12" s="33"/>
      <c r="F12" s="13">
        <f t="shared" si="0"/>
        <v>0</v>
      </c>
    </row>
    <row r="13" spans="2:6" x14ac:dyDescent="0.3">
      <c r="B13" s="18" t="s">
        <v>55</v>
      </c>
      <c r="C13" s="33">
        <v>5</v>
      </c>
      <c r="D13" s="10">
        <f>Detalle!DJ23*C13/5</f>
        <v>0</v>
      </c>
      <c r="E13" s="33"/>
      <c r="F13" s="13">
        <f t="shared" si="0"/>
        <v>0</v>
      </c>
    </row>
    <row r="14" spans="2:6" x14ac:dyDescent="0.3">
      <c r="B14" s="18" t="s">
        <v>56</v>
      </c>
      <c r="C14" s="33">
        <v>5</v>
      </c>
      <c r="D14" s="10">
        <f>Detalle!DW23*C14/5</f>
        <v>0</v>
      </c>
      <c r="E14" s="33"/>
      <c r="F14" s="13">
        <f t="shared" si="0"/>
        <v>0</v>
      </c>
    </row>
    <row r="15" spans="2:6" x14ac:dyDescent="0.3">
      <c r="B15" s="18" t="s">
        <v>57</v>
      </c>
      <c r="C15" s="33">
        <v>5</v>
      </c>
      <c r="D15" s="10">
        <f>Detalle!EJ23*C15/5</f>
        <v>0</v>
      </c>
      <c r="E15" s="33"/>
      <c r="F15" s="13">
        <f t="shared" si="0"/>
        <v>0</v>
      </c>
    </row>
    <row r="16" spans="2:6" x14ac:dyDescent="0.3">
      <c r="B16" s="18" t="s">
        <v>58</v>
      </c>
      <c r="C16" s="33">
        <v>5</v>
      </c>
      <c r="D16" s="10">
        <f>Detalle!EW23*C16/5</f>
        <v>0</v>
      </c>
      <c r="E16" s="33"/>
      <c r="F16" s="13">
        <f t="shared" si="0"/>
        <v>0</v>
      </c>
    </row>
    <row r="17" spans="2:6" x14ac:dyDescent="0.3">
      <c r="B17" s="18" t="s">
        <v>59</v>
      </c>
      <c r="C17" s="33">
        <v>5</v>
      </c>
      <c r="D17" s="10">
        <f>Detalle!FJ23*C17/5</f>
        <v>0</v>
      </c>
      <c r="E17" s="33"/>
      <c r="F17" s="13">
        <f t="shared" si="0"/>
        <v>0</v>
      </c>
    </row>
    <row r="18" spans="2:6" x14ac:dyDescent="0.3">
      <c r="B18" s="19" t="s">
        <v>66</v>
      </c>
      <c r="C18" s="34">
        <v>5</v>
      </c>
      <c r="D18" s="28">
        <f>Detalle!FW23*C18/5</f>
        <v>0</v>
      </c>
      <c r="E18" s="34"/>
      <c r="F18" s="36">
        <f t="shared" ref="F18" si="1">AVERAGE(D18:E18)</f>
        <v>0</v>
      </c>
    </row>
    <row r="19" spans="2:6" ht="14.25" customHeight="1" x14ac:dyDescent="0.3">
      <c r="B19" s="53" t="str">
        <f>HYPERLINK(_xlfn.CONCAT("https://github.com/rcfdtools/R.HCMC/blob/main/activity/",F1,"/Readme.md"),_xlfn.CONCAT("Ir a actividad ",F1," en GitHub."))</f>
        <v>Ir a actividad M01A02 en GitHub.</v>
      </c>
      <c r="C19" s="53"/>
      <c r="D19" s="53"/>
      <c r="E19" s="53"/>
      <c r="F19" s="53"/>
    </row>
    <row r="20" spans="2:6" x14ac:dyDescent="0.3">
      <c r="B20" s="53"/>
      <c r="C20" s="53"/>
      <c r="D20" s="53"/>
      <c r="E20" s="53"/>
      <c r="F20" s="53"/>
    </row>
    <row r="21" spans="2:6" x14ac:dyDescent="0.3">
      <c r="B21" s="32"/>
      <c r="C21" s="32"/>
      <c r="D21" s="32"/>
      <c r="E21" s="32"/>
      <c r="F21" s="32"/>
    </row>
  </sheetData>
  <mergeCells count="3">
    <mergeCell ref="B2:F3"/>
    <mergeCell ref="B19:F19"/>
    <mergeCell ref="B20:F20"/>
  </mergeCells>
  <phoneticPr fontId="2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GI46"/>
  <sheetViews>
    <sheetView showGridLines="0" tabSelected="1" zoomScale="115" zoomScaleNormal="115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8" sqref="L8"/>
    </sheetView>
  </sheetViews>
  <sheetFormatPr defaultColWidth="11.33203125" defaultRowHeight="15" x14ac:dyDescent="0.3"/>
  <cols>
    <col min="1" max="1" width="2.6640625" style="6" customWidth="1"/>
    <col min="2" max="2" width="16.33203125" style="4" customWidth="1"/>
    <col min="3" max="3" width="46.109375" style="5" customWidth="1"/>
    <col min="4" max="4" width="7.33203125" style="5" customWidth="1"/>
    <col min="5" max="6" width="4.6640625" style="5" customWidth="1"/>
    <col min="7" max="8" width="10" style="5" customWidth="1"/>
    <col min="9" max="9" width="6.5546875" style="5" customWidth="1"/>
    <col min="10" max="10" width="9.6640625" style="5" customWidth="1"/>
    <col min="11" max="11" width="8.5546875" style="5" customWidth="1"/>
    <col min="12" max="12" width="10.109375" style="5" customWidth="1"/>
    <col min="13" max="18" width="8.5546875" style="5" customWidth="1"/>
    <col min="19" max="19" width="11.109375" style="5" customWidth="1"/>
    <col min="20" max="21" width="10" style="5" customWidth="1"/>
    <col min="22" max="22" width="10.109375" style="5" customWidth="1"/>
    <col min="23" max="24" width="8.5546875" style="5" customWidth="1"/>
    <col min="25" max="31" width="10.109375" style="5" customWidth="1"/>
    <col min="32" max="32" width="11.109375" style="5" customWidth="1"/>
    <col min="33" max="34" width="10" style="5" customWidth="1"/>
    <col min="35" max="35" width="10.109375" style="5" customWidth="1"/>
    <col min="36" max="37" width="8.5546875" style="5" customWidth="1"/>
    <col min="38" max="44" width="10.109375" style="5" customWidth="1"/>
    <col min="45" max="45" width="11.109375" style="5" customWidth="1"/>
    <col min="46" max="47" width="10" style="5" customWidth="1"/>
    <col min="48" max="48" width="10.109375" style="5" customWidth="1"/>
    <col min="49" max="50" width="8.5546875" style="5" customWidth="1"/>
    <col min="51" max="57" width="10.109375" style="5" customWidth="1"/>
    <col min="58" max="58" width="11.109375" style="5" customWidth="1"/>
    <col min="59" max="60" width="10" style="5" customWidth="1"/>
    <col min="61" max="61" width="10.109375" style="5" customWidth="1"/>
    <col min="62" max="62" width="8.5546875" style="5" customWidth="1"/>
    <col min="63" max="70" width="10.109375" style="5" customWidth="1"/>
    <col min="71" max="71" width="11.109375" style="5" customWidth="1"/>
    <col min="72" max="73" width="10" style="5" customWidth="1"/>
    <col min="74" max="74" width="10.109375" style="5" customWidth="1"/>
    <col min="75" max="76" width="8.5546875" style="5" customWidth="1"/>
    <col min="77" max="83" width="10.109375" style="5" customWidth="1"/>
    <col min="84" max="84" width="11.109375" style="5" customWidth="1"/>
    <col min="85" max="86" width="10" style="5" customWidth="1"/>
    <col min="87" max="87" width="10.109375" style="5" customWidth="1"/>
    <col min="88" max="88" width="8.5546875" style="5" bestFit="1" customWidth="1"/>
    <col min="89" max="89" width="8.5546875" style="5" customWidth="1"/>
    <col min="90" max="96" width="10.109375" style="5" customWidth="1"/>
    <col min="97" max="97" width="11.109375" style="5" customWidth="1"/>
    <col min="98" max="100" width="10.109375" style="5" customWidth="1"/>
    <col min="101" max="101" width="8.5546875" style="5" bestFit="1" customWidth="1"/>
    <col min="102" max="102" width="8.5546875" style="5" customWidth="1"/>
    <col min="103" max="109" width="10.109375" style="5" customWidth="1"/>
    <col min="110" max="110" width="11.109375" style="5" customWidth="1"/>
    <col min="111" max="113" width="10.109375" style="5" customWidth="1"/>
    <col min="114" max="114" width="8.5546875" style="5" bestFit="1" customWidth="1"/>
    <col min="115" max="115" width="8.5546875" style="5" customWidth="1"/>
    <col min="116" max="122" width="10.109375" style="5" customWidth="1"/>
    <col min="123" max="123" width="11.109375" style="5" customWidth="1"/>
    <col min="124" max="126" width="10.109375" style="5" customWidth="1"/>
    <col min="127" max="127" width="8.5546875" style="5" bestFit="1" customWidth="1"/>
    <col min="128" max="128" width="8.5546875" style="5" customWidth="1"/>
    <col min="129" max="135" width="10.109375" style="5" customWidth="1"/>
    <col min="136" max="136" width="11.109375" style="5" customWidth="1"/>
    <col min="137" max="139" width="10.109375" style="5" customWidth="1"/>
    <col min="140" max="140" width="8.5546875" style="5" bestFit="1" customWidth="1"/>
    <col min="141" max="141" width="8.5546875" style="5" customWidth="1"/>
    <col min="142" max="148" width="10.109375" style="5" customWidth="1"/>
    <col min="149" max="149" width="11.109375" style="5" customWidth="1"/>
    <col min="150" max="152" width="10.109375" style="5" customWidth="1"/>
    <col min="153" max="153" width="8.5546875" style="5" bestFit="1" customWidth="1"/>
    <col min="154" max="154" width="8.5546875" style="5" customWidth="1"/>
    <col min="155" max="161" width="10.109375" style="5" customWidth="1"/>
    <col min="162" max="162" width="11.109375" style="5" customWidth="1"/>
    <col min="163" max="165" width="10.109375" style="5" customWidth="1"/>
    <col min="166" max="166" width="8.5546875" style="5" bestFit="1" customWidth="1"/>
    <col min="167" max="167" width="8.5546875" style="5" customWidth="1"/>
    <col min="168" max="174" width="10.109375" style="5" customWidth="1"/>
    <col min="175" max="175" width="11.109375" style="5" customWidth="1"/>
    <col min="176" max="178" width="10.109375" style="5" customWidth="1"/>
    <col min="179" max="179" width="8.5546875" style="5" bestFit="1" customWidth="1"/>
    <col min="180" max="180" width="8.5546875" style="5" customWidth="1"/>
    <col min="181" max="187" width="10.109375" style="5" customWidth="1"/>
    <col min="188" max="188" width="11.109375" style="5" customWidth="1"/>
    <col min="189" max="191" width="10.109375" style="5" customWidth="1"/>
    <col min="192" max="16384" width="11.33203125" style="4"/>
  </cols>
  <sheetData>
    <row r="1" spans="1:191" x14ac:dyDescent="0.3">
      <c r="A1" s="3"/>
      <c r="B1" s="7" t="str">
        <f>Calificacion!B2</f>
        <v>Calificación 1.2. Modelación hidrológica para obtención de caudales de diseño e hidrogramas para tránsito de crecientes</v>
      </c>
      <c r="C1" s="4"/>
      <c r="D1" s="4"/>
      <c r="E1" s="4"/>
      <c r="F1" s="4"/>
      <c r="G1" s="4"/>
      <c r="H1" s="4"/>
      <c r="I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</row>
    <row r="2" spans="1:191" s="7" customFormat="1" x14ac:dyDescent="0.3">
      <c r="A2" s="6"/>
      <c r="B2" s="65" t="s">
        <v>3</v>
      </c>
      <c r="C2" s="67" t="s">
        <v>4</v>
      </c>
      <c r="D2" s="69" t="s">
        <v>26</v>
      </c>
      <c r="E2" s="69"/>
      <c r="F2" s="69"/>
      <c r="G2" s="69"/>
      <c r="H2" s="69"/>
      <c r="I2" s="70"/>
      <c r="J2" s="54" t="str">
        <f>Calificacion!$B5</f>
        <v>Grupo 1</v>
      </c>
      <c r="K2" s="64"/>
      <c r="L2" s="55"/>
      <c r="M2" s="55"/>
      <c r="N2" s="55"/>
      <c r="O2" s="55"/>
      <c r="P2" s="55"/>
      <c r="Q2" s="55"/>
      <c r="R2" s="55"/>
      <c r="S2" s="56"/>
      <c r="T2" s="56"/>
      <c r="U2" s="56"/>
      <c r="V2" s="57"/>
      <c r="W2" s="54" t="str">
        <f>Calificacion!$B6</f>
        <v>Grupo 2</v>
      </c>
      <c r="X2" s="64"/>
      <c r="Y2" s="55"/>
      <c r="Z2" s="55"/>
      <c r="AA2" s="55"/>
      <c r="AB2" s="55"/>
      <c r="AC2" s="55"/>
      <c r="AD2" s="55"/>
      <c r="AE2" s="55"/>
      <c r="AF2" s="56"/>
      <c r="AG2" s="56"/>
      <c r="AH2" s="56"/>
      <c r="AI2" s="57"/>
      <c r="AJ2" s="54" t="str">
        <f>Calificacion!$B7</f>
        <v>Grupo 3</v>
      </c>
      <c r="AK2" s="64"/>
      <c r="AL2" s="55"/>
      <c r="AM2" s="55"/>
      <c r="AN2" s="55"/>
      <c r="AO2" s="55"/>
      <c r="AP2" s="55"/>
      <c r="AQ2" s="55"/>
      <c r="AR2" s="55"/>
      <c r="AS2" s="56"/>
      <c r="AT2" s="56"/>
      <c r="AU2" s="56"/>
      <c r="AV2" s="57"/>
      <c r="AW2" s="54" t="str">
        <f>Calificacion!$B8</f>
        <v>Grupo 4</v>
      </c>
      <c r="AX2" s="64"/>
      <c r="AY2" s="55"/>
      <c r="AZ2" s="55"/>
      <c r="BA2" s="55"/>
      <c r="BB2" s="55"/>
      <c r="BC2" s="55"/>
      <c r="BD2" s="55"/>
      <c r="BE2" s="55"/>
      <c r="BF2" s="56"/>
      <c r="BG2" s="56"/>
      <c r="BH2" s="56"/>
      <c r="BI2" s="57"/>
      <c r="BJ2" s="54" t="str">
        <f>Calificacion!$B9</f>
        <v>Grupo 5</v>
      </c>
      <c r="BK2" s="55"/>
      <c r="BL2" s="55"/>
      <c r="BM2" s="55"/>
      <c r="BN2" s="55"/>
      <c r="BO2" s="55"/>
      <c r="BP2" s="55"/>
      <c r="BQ2" s="55"/>
      <c r="BR2" s="55"/>
      <c r="BS2" s="56"/>
      <c r="BT2" s="56"/>
      <c r="BU2" s="56"/>
      <c r="BV2" s="57"/>
      <c r="BW2" s="54" t="str">
        <f>Calificacion!$B10</f>
        <v>Grupo 6</v>
      </c>
      <c r="BX2" s="64"/>
      <c r="BY2" s="55"/>
      <c r="BZ2" s="55"/>
      <c r="CA2" s="55"/>
      <c r="CB2" s="55"/>
      <c r="CC2" s="55"/>
      <c r="CD2" s="55"/>
      <c r="CE2" s="55"/>
      <c r="CF2" s="56"/>
      <c r="CG2" s="56"/>
      <c r="CH2" s="56"/>
      <c r="CI2" s="57"/>
      <c r="CJ2" s="54" t="str">
        <f>Calificacion!$B11</f>
        <v>Grupo 7</v>
      </c>
      <c r="CK2" s="64"/>
      <c r="CL2" s="55"/>
      <c r="CM2" s="55"/>
      <c r="CN2" s="55"/>
      <c r="CO2" s="55"/>
      <c r="CP2" s="55"/>
      <c r="CQ2" s="55"/>
      <c r="CR2" s="55"/>
      <c r="CS2" s="56"/>
      <c r="CT2" s="56"/>
      <c r="CU2" s="56"/>
      <c r="CV2" s="57"/>
      <c r="CW2" s="54" t="str">
        <f>Calificacion!$B12</f>
        <v>Grupo 8</v>
      </c>
      <c r="CX2" s="64"/>
      <c r="CY2" s="55"/>
      <c r="CZ2" s="55"/>
      <c r="DA2" s="55"/>
      <c r="DB2" s="55"/>
      <c r="DC2" s="55"/>
      <c r="DD2" s="55"/>
      <c r="DE2" s="55"/>
      <c r="DF2" s="56"/>
      <c r="DG2" s="56"/>
      <c r="DH2" s="56"/>
      <c r="DI2" s="57"/>
      <c r="DJ2" s="54" t="str">
        <f>Calificacion!$B13</f>
        <v>Grupo 9</v>
      </c>
      <c r="DK2" s="64"/>
      <c r="DL2" s="55"/>
      <c r="DM2" s="55"/>
      <c r="DN2" s="55"/>
      <c r="DO2" s="55"/>
      <c r="DP2" s="55"/>
      <c r="DQ2" s="55"/>
      <c r="DR2" s="55"/>
      <c r="DS2" s="56"/>
      <c r="DT2" s="56"/>
      <c r="DU2" s="56"/>
      <c r="DV2" s="57"/>
      <c r="DW2" s="54" t="str">
        <f>Calificacion!$B14</f>
        <v>Grupo 10</v>
      </c>
      <c r="DX2" s="64"/>
      <c r="DY2" s="55"/>
      <c r="DZ2" s="55"/>
      <c r="EA2" s="55"/>
      <c r="EB2" s="55"/>
      <c r="EC2" s="55"/>
      <c r="ED2" s="55"/>
      <c r="EE2" s="55"/>
      <c r="EF2" s="56"/>
      <c r="EG2" s="56"/>
      <c r="EH2" s="56"/>
      <c r="EI2" s="57"/>
      <c r="EJ2" s="54" t="str">
        <f>Calificacion!$B15</f>
        <v>Grupo 11</v>
      </c>
      <c r="EK2" s="55"/>
      <c r="EL2" s="55"/>
      <c r="EM2" s="55"/>
      <c r="EN2" s="55"/>
      <c r="EO2" s="55"/>
      <c r="EP2" s="55"/>
      <c r="EQ2" s="55"/>
      <c r="ER2" s="55"/>
      <c r="ES2" s="56"/>
      <c r="ET2" s="56"/>
      <c r="EU2" s="56"/>
      <c r="EV2" s="57"/>
      <c r="EW2" s="54" t="str">
        <f>Calificacion!$B16</f>
        <v>Grupo 12</v>
      </c>
      <c r="EX2" s="55"/>
      <c r="EY2" s="55"/>
      <c r="EZ2" s="55"/>
      <c r="FA2" s="55"/>
      <c r="FB2" s="55"/>
      <c r="FC2" s="55"/>
      <c r="FD2" s="55"/>
      <c r="FE2" s="55"/>
      <c r="FF2" s="56"/>
      <c r="FG2" s="56"/>
      <c r="FH2" s="56"/>
      <c r="FI2" s="57"/>
      <c r="FJ2" s="54" t="str">
        <f>Calificacion!$B17</f>
        <v>Grupo 13</v>
      </c>
      <c r="FK2" s="55"/>
      <c r="FL2" s="55"/>
      <c r="FM2" s="55"/>
      <c r="FN2" s="55"/>
      <c r="FO2" s="55"/>
      <c r="FP2" s="55"/>
      <c r="FQ2" s="55"/>
      <c r="FR2" s="55"/>
      <c r="FS2" s="56"/>
      <c r="FT2" s="56"/>
      <c r="FU2" s="56"/>
      <c r="FV2" s="57"/>
      <c r="FW2" s="54" t="str">
        <f>Calificacion!$B18</f>
        <v>Grupo 14</v>
      </c>
      <c r="FX2" s="55"/>
      <c r="FY2" s="55"/>
      <c r="FZ2" s="55"/>
      <c r="GA2" s="55"/>
      <c r="GB2" s="55"/>
      <c r="GC2" s="55"/>
      <c r="GD2" s="55"/>
      <c r="GE2" s="55"/>
      <c r="GF2" s="56"/>
      <c r="GG2" s="56"/>
      <c r="GH2" s="56"/>
      <c r="GI2" s="57"/>
    </row>
    <row r="3" spans="1:191" ht="45" x14ac:dyDescent="0.3">
      <c r="B3" s="66"/>
      <c r="C3" s="68"/>
      <c r="D3" s="8" t="s">
        <v>7</v>
      </c>
      <c r="E3" s="8" t="s">
        <v>35</v>
      </c>
      <c r="F3" s="8" t="s">
        <v>36</v>
      </c>
      <c r="G3" s="8" t="s">
        <v>41</v>
      </c>
      <c r="H3" s="8" t="s">
        <v>42</v>
      </c>
      <c r="I3" s="14" t="s">
        <v>20</v>
      </c>
      <c r="J3" s="15" t="s">
        <v>5</v>
      </c>
      <c r="K3" s="27" t="s">
        <v>7</v>
      </c>
      <c r="L3" s="8" t="s">
        <v>6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67</v>
      </c>
      <c r="T3" s="8" t="s">
        <v>41</v>
      </c>
      <c r="U3" s="8" t="s">
        <v>42</v>
      </c>
      <c r="V3" s="11" t="s">
        <v>20</v>
      </c>
      <c r="W3" s="15" t="s">
        <v>5</v>
      </c>
      <c r="X3" s="27" t="s">
        <v>7</v>
      </c>
      <c r="Y3" s="8" t="s">
        <v>6</v>
      </c>
      <c r="Z3" s="8" t="s">
        <v>8</v>
      </c>
      <c r="AA3" s="8" t="s">
        <v>9</v>
      </c>
      <c r="AB3" s="8" t="s">
        <v>10</v>
      </c>
      <c r="AC3" s="8" t="s">
        <v>11</v>
      </c>
      <c r="AD3" s="8" t="s">
        <v>12</v>
      </c>
      <c r="AE3" s="8" t="s">
        <v>13</v>
      </c>
      <c r="AF3" s="8" t="s">
        <v>67</v>
      </c>
      <c r="AG3" s="8" t="s">
        <v>41</v>
      </c>
      <c r="AH3" s="8" t="s">
        <v>42</v>
      </c>
      <c r="AI3" s="11" t="s">
        <v>20</v>
      </c>
      <c r="AJ3" s="15" t="s">
        <v>5</v>
      </c>
      <c r="AK3" s="27" t="s">
        <v>7</v>
      </c>
      <c r="AL3" s="8" t="s">
        <v>6</v>
      </c>
      <c r="AM3" s="8" t="s">
        <v>8</v>
      </c>
      <c r="AN3" s="8" t="s">
        <v>9</v>
      </c>
      <c r="AO3" s="8" t="s">
        <v>10</v>
      </c>
      <c r="AP3" s="8" t="s">
        <v>11</v>
      </c>
      <c r="AQ3" s="8" t="s">
        <v>12</v>
      </c>
      <c r="AR3" s="8" t="s">
        <v>13</v>
      </c>
      <c r="AS3" s="8" t="s">
        <v>67</v>
      </c>
      <c r="AT3" s="8" t="s">
        <v>41</v>
      </c>
      <c r="AU3" s="8" t="s">
        <v>42</v>
      </c>
      <c r="AV3" s="11" t="s">
        <v>20</v>
      </c>
      <c r="AW3" s="15" t="s">
        <v>5</v>
      </c>
      <c r="AX3" s="27" t="s">
        <v>7</v>
      </c>
      <c r="AY3" s="8" t="s">
        <v>6</v>
      </c>
      <c r="AZ3" s="8" t="s">
        <v>8</v>
      </c>
      <c r="BA3" s="8" t="s">
        <v>9</v>
      </c>
      <c r="BB3" s="8" t="s">
        <v>10</v>
      </c>
      <c r="BC3" s="8" t="s">
        <v>11</v>
      </c>
      <c r="BD3" s="8" t="s">
        <v>12</v>
      </c>
      <c r="BE3" s="8" t="s">
        <v>13</v>
      </c>
      <c r="BF3" s="8" t="s">
        <v>67</v>
      </c>
      <c r="BG3" s="8" t="s">
        <v>41</v>
      </c>
      <c r="BH3" s="8" t="s">
        <v>42</v>
      </c>
      <c r="BI3" s="11" t="s">
        <v>20</v>
      </c>
      <c r="BJ3" s="15" t="s">
        <v>5</v>
      </c>
      <c r="BK3" s="8" t="s">
        <v>7</v>
      </c>
      <c r="BL3" s="8" t="s">
        <v>6</v>
      </c>
      <c r="BM3" s="8" t="s">
        <v>8</v>
      </c>
      <c r="BN3" s="8" t="s">
        <v>9</v>
      </c>
      <c r="BO3" s="8" t="s">
        <v>10</v>
      </c>
      <c r="BP3" s="8" t="s">
        <v>11</v>
      </c>
      <c r="BQ3" s="8" t="s">
        <v>12</v>
      </c>
      <c r="BR3" s="8" t="s">
        <v>13</v>
      </c>
      <c r="BS3" s="8" t="s">
        <v>67</v>
      </c>
      <c r="BT3" s="8" t="s">
        <v>41</v>
      </c>
      <c r="BU3" s="8" t="s">
        <v>42</v>
      </c>
      <c r="BV3" s="11" t="s">
        <v>20</v>
      </c>
      <c r="BW3" s="15" t="s">
        <v>5</v>
      </c>
      <c r="BX3" s="27" t="s">
        <v>7</v>
      </c>
      <c r="BY3" s="8" t="s">
        <v>6</v>
      </c>
      <c r="BZ3" s="8" t="s">
        <v>8</v>
      </c>
      <c r="CA3" s="8" t="s">
        <v>9</v>
      </c>
      <c r="CB3" s="8" t="s">
        <v>10</v>
      </c>
      <c r="CC3" s="8" t="s">
        <v>11</v>
      </c>
      <c r="CD3" s="8" t="s">
        <v>12</v>
      </c>
      <c r="CE3" s="8" t="s">
        <v>13</v>
      </c>
      <c r="CF3" s="8" t="s">
        <v>67</v>
      </c>
      <c r="CG3" s="8" t="s">
        <v>41</v>
      </c>
      <c r="CH3" s="8" t="s">
        <v>42</v>
      </c>
      <c r="CI3" s="11" t="s">
        <v>20</v>
      </c>
      <c r="CJ3" s="15" t="s">
        <v>5</v>
      </c>
      <c r="CK3" s="27" t="s">
        <v>7</v>
      </c>
      <c r="CL3" s="8" t="s">
        <v>6</v>
      </c>
      <c r="CM3" s="8" t="s">
        <v>8</v>
      </c>
      <c r="CN3" s="8" t="s">
        <v>9</v>
      </c>
      <c r="CO3" s="8" t="s">
        <v>10</v>
      </c>
      <c r="CP3" s="8" t="s">
        <v>11</v>
      </c>
      <c r="CQ3" s="8" t="s">
        <v>12</v>
      </c>
      <c r="CR3" s="8" t="s">
        <v>13</v>
      </c>
      <c r="CS3" s="8" t="s">
        <v>67</v>
      </c>
      <c r="CT3" s="14" t="s">
        <v>41</v>
      </c>
      <c r="CU3" s="14" t="s">
        <v>42</v>
      </c>
      <c r="CV3" s="11" t="s">
        <v>20</v>
      </c>
      <c r="CW3" s="15" t="s">
        <v>5</v>
      </c>
      <c r="CX3" s="27" t="s">
        <v>7</v>
      </c>
      <c r="CY3" s="8" t="s">
        <v>6</v>
      </c>
      <c r="CZ3" s="8" t="s">
        <v>8</v>
      </c>
      <c r="DA3" s="8" t="s">
        <v>9</v>
      </c>
      <c r="DB3" s="8" t="s">
        <v>10</v>
      </c>
      <c r="DC3" s="8" t="s">
        <v>11</v>
      </c>
      <c r="DD3" s="8" t="s">
        <v>12</v>
      </c>
      <c r="DE3" s="8" t="s">
        <v>13</v>
      </c>
      <c r="DF3" s="8" t="s">
        <v>67</v>
      </c>
      <c r="DG3" s="14" t="s">
        <v>41</v>
      </c>
      <c r="DH3" s="14" t="s">
        <v>42</v>
      </c>
      <c r="DI3" s="11" t="s">
        <v>20</v>
      </c>
      <c r="DJ3" s="15" t="s">
        <v>5</v>
      </c>
      <c r="DK3" s="27" t="s">
        <v>7</v>
      </c>
      <c r="DL3" s="8" t="s">
        <v>6</v>
      </c>
      <c r="DM3" s="8" t="s">
        <v>8</v>
      </c>
      <c r="DN3" s="8" t="s">
        <v>9</v>
      </c>
      <c r="DO3" s="8" t="s">
        <v>10</v>
      </c>
      <c r="DP3" s="8" t="s">
        <v>11</v>
      </c>
      <c r="DQ3" s="8" t="s">
        <v>12</v>
      </c>
      <c r="DR3" s="8" t="s">
        <v>13</v>
      </c>
      <c r="DS3" s="8" t="s">
        <v>67</v>
      </c>
      <c r="DT3" s="14" t="s">
        <v>41</v>
      </c>
      <c r="DU3" s="14" t="s">
        <v>42</v>
      </c>
      <c r="DV3" s="11" t="s">
        <v>20</v>
      </c>
      <c r="DW3" s="15" t="s">
        <v>5</v>
      </c>
      <c r="DX3" s="27" t="s">
        <v>7</v>
      </c>
      <c r="DY3" s="8" t="s">
        <v>6</v>
      </c>
      <c r="DZ3" s="8" t="s">
        <v>8</v>
      </c>
      <c r="EA3" s="8" t="s">
        <v>9</v>
      </c>
      <c r="EB3" s="8" t="s">
        <v>10</v>
      </c>
      <c r="EC3" s="8" t="s">
        <v>11</v>
      </c>
      <c r="ED3" s="8" t="s">
        <v>12</v>
      </c>
      <c r="EE3" s="8" t="s">
        <v>13</v>
      </c>
      <c r="EF3" s="8" t="s">
        <v>67</v>
      </c>
      <c r="EG3" s="14" t="s">
        <v>41</v>
      </c>
      <c r="EH3" s="14" t="s">
        <v>42</v>
      </c>
      <c r="EI3" s="11" t="s">
        <v>20</v>
      </c>
      <c r="EJ3" s="15" t="s">
        <v>5</v>
      </c>
      <c r="EK3" s="27" t="s">
        <v>7</v>
      </c>
      <c r="EL3" s="8" t="s">
        <v>6</v>
      </c>
      <c r="EM3" s="8" t="s">
        <v>8</v>
      </c>
      <c r="EN3" s="8" t="s">
        <v>9</v>
      </c>
      <c r="EO3" s="8" t="s">
        <v>10</v>
      </c>
      <c r="EP3" s="8" t="s">
        <v>11</v>
      </c>
      <c r="EQ3" s="8" t="s">
        <v>12</v>
      </c>
      <c r="ER3" s="8" t="s">
        <v>13</v>
      </c>
      <c r="ES3" s="8" t="s">
        <v>67</v>
      </c>
      <c r="ET3" s="14" t="s">
        <v>41</v>
      </c>
      <c r="EU3" s="14" t="s">
        <v>42</v>
      </c>
      <c r="EV3" s="11" t="s">
        <v>20</v>
      </c>
      <c r="EW3" s="15" t="s">
        <v>5</v>
      </c>
      <c r="EX3" s="27" t="s">
        <v>7</v>
      </c>
      <c r="EY3" s="8" t="s">
        <v>6</v>
      </c>
      <c r="EZ3" s="8" t="s">
        <v>8</v>
      </c>
      <c r="FA3" s="8" t="s">
        <v>9</v>
      </c>
      <c r="FB3" s="8" t="s">
        <v>10</v>
      </c>
      <c r="FC3" s="8" t="s">
        <v>11</v>
      </c>
      <c r="FD3" s="8" t="s">
        <v>12</v>
      </c>
      <c r="FE3" s="8" t="s">
        <v>13</v>
      </c>
      <c r="FF3" s="8" t="s">
        <v>67</v>
      </c>
      <c r="FG3" s="14" t="s">
        <v>41</v>
      </c>
      <c r="FH3" s="14" t="s">
        <v>42</v>
      </c>
      <c r="FI3" s="11" t="s">
        <v>20</v>
      </c>
      <c r="FJ3" s="15" t="s">
        <v>5</v>
      </c>
      <c r="FK3" s="27" t="s">
        <v>7</v>
      </c>
      <c r="FL3" s="8" t="s">
        <v>6</v>
      </c>
      <c r="FM3" s="8" t="s">
        <v>8</v>
      </c>
      <c r="FN3" s="8" t="s">
        <v>9</v>
      </c>
      <c r="FO3" s="8" t="s">
        <v>10</v>
      </c>
      <c r="FP3" s="8" t="s">
        <v>11</v>
      </c>
      <c r="FQ3" s="8" t="s">
        <v>12</v>
      </c>
      <c r="FR3" s="8" t="s">
        <v>13</v>
      </c>
      <c r="FS3" s="8" t="s">
        <v>67</v>
      </c>
      <c r="FT3" s="14" t="s">
        <v>41</v>
      </c>
      <c r="FU3" s="14" t="s">
        <v>42</v>
      </c>
      <c r="FV3" s="11" t="s">
        <v>20</v>
      </c>
      <c r="FW3" s="15" t="s">
        <v>5</v>
      </c>
      <c r="FX3" s="27" t="s">
        <v>7</v>
      </c>
      <c r="FY3" s="8" t="s">
        <v>6</v>
      </c>
      <c r="FZ3" s="8" t="s">
        <v>8</v>
      </c>
      <c r="GA3" s="8" t="s">
        <v>9</v>
      </c>
      <c r="GB3" s="8" t="s">
        <v>10</v>
      </c>
      <c r="GC3" s="8" t="s">
        <v>11</v>
      </c>
      <c r="GD3" s="8" t="s">
        <v>12</v>
      </c>
      <c r="GE3" s="8" t="s">
        <v>13</v>
      </c>
      <c r="GF3" s="8" t="s">
        <v>67</v>
      </c>
      <c r="GG3" s="14" t="s">
        <v>41</v>
      </c>
      <c r="GH3" s="14" t="s">
        <v>42</v>
      </c>
      <c r="GI3" s="11" t="s">
        <v>20</v>
      </c>
    </row>
    <row r="4" spans="1:191" x14ac:dyDescent="0.3">
      <c r="B4" s="12" t="s">
        <v>16</v>
      </c>
      <c r="C4" s="16" t="s">
        <v>14</v>
      </c>
      <c r="D4" s="21">
        <v>185.2118016</v>
      </c>
      <c r="E4" s="10">
        <f>IF(2.42152697940285*D4^(-0.256817145936596)&gt;1,1,2.42152697940285*D4^(-0.256817145936596))</f>
        <v>0.63345113679278509</v>
      </c>
      <c r="F4" s="10">
        <f>IF(2.16599216088011*D4^(-0.223981119529414)&gt;1,1,2.16599216088011*D4^(-0.223981119529414))</f>
        <v>0.67257685197015304</v>
      </c>
      <c r="G4" s="9">
        <v>1506.318262</v>
      </c>
      <c r="H4" s="9">
        <v>1232.8382879999999</v>
      </c>
      <c r="I4" s="20">
        <f>(((G4-H4)/1000)*(D4*(1000*1000)))/(365*24*60*60)</f>
        <v>1.6061554631551613</v>
      </c>
      <c r="J4" s="37">
        <v>0</v>
      </c>
      <c r="K4" s="38"/>
      <c r="L4" s="22"/>
      <c r="M4" s="22"/>
      <c r="N4" s="22"/>
      <c r="O4" s="22"/>
      <c r="P4" s="22"/>
      <c r="Q4" s="22"/>
      <c r="R4" s="22"/>
      <c r="S4" s="22"/>
      <c r="T4" s="22"/>
      <c r="U4" s="22"/>
      <c r="V4" s="39"/>
      <c r="W4" s="37">
        <v>0</v>
      </c>
      <c r="X4" s="38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39"/>
      <c r="AJ4" s="37">
        <v>0</v>
      </c>
      <c r="AK4" s="38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39"/>
      <c r="AW4" s="37">
        <v>0</v>
      </c>
      <c r="AX4" s="38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39"/>
      <c r="BJ4" s="37">
        <v>0</v>
      </c>
      <c r="BK4" s="38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39"/>
      <c r="BW4" s="37">
        <v>0</v>
      </c>
      <c r="BX4" s="38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39"/>
      <c r="CJ4" s="37">
        <v>0</v>
      </c>
      <c r="CK4" s="38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39"/>
      <c r="CW4" s="37">
        <v>0</v>
      </c>
      <c r="CX4" s="38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39"/>
      <c r="DJ4" s="37">
        <v>0</v>
      </c>
      <c r="DK4" s="38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39"/>
      <c r="DW4" s="37">
        <v>0</v>
      </c>
      <c r="DX4" s="38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39"/>
      <c r="EJ4" s="37">
        <v>0</v>
      </c>
      <c r="EK4" s="38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39"/>
      <c r="EW4" s="37">
        <v>0</v>
      </c>
      <c r="EX4" s="38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39"/>
      <c r="FJ4" s="37">
        <v>0</v>
      </c>
      <c r="FK4" s="38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39"/>
      <c r="FW4" s="37"/>
      <c r="FX4" s="38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39"/>
    </row>
    <row r="5" spans="1:191" x14ac:dyDescent="0.3">
      <c r="B5" s="12" t="s">
        <v>17</v>
      </c>
      <c r="C5" s="16" t="s">
        <v>15</v>
      </c>
      <c r="D5" s="21">
        <v>247.05620160000001</v>
      </c>
      <c r="E5" s="10">
        <f>IF(2.42152697940285*D5^(-0.256817145936596)&gt;1,1,2.42152697940285*D5^(-0.256817145936596))</f>
        <v>0.58827221191397061</v>
      </c>
      <c r="F5" s="10">
        <f>IF(2.16599216088011*D5^(-0.223981119529414)&gt;1,1,2.16599216088011*D5^(-0.223981119529414))</f>
        <v>0.63054459511498517</v>
      </c>
      <c r="G5" s="9">
        <v>1507.8256670000001</v>
      </c>
      <c r="H5" s="9">
        <v>1243.4873700000001</v>
      </c>
      <c r="I5" s="20">
        <f>(((G5-H5)/1000)*(D5*(1000*1000)))/(365*24*60*60)</f>
        <v>2.0708528536983977</v>
      </c>
      <c r="J5" s="37"/>
      <c r="K5" s="38"/>
      <c r="L5" s="22"/>
      <c r="M5" s="22"/>
      <c r="N5" s="22"/>
      <c r="O5" s="22"/>
      <c r="P5" s="22"/>
      <c r="Q5" s="22"/>
      <c r="R5" s="22"/>
      <c r="S5" s="22"/>
      <c r="T5" s="22"/>
      <c r="U5" s="22"/>
      <c r="V5" s="39"/>
      <c r="W5" s="37"/>
      <c r="X5" s="38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39"/>
      <c r="AJ5" s="37"/>
      <c r="AK5" s="38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39"/>
      <c r="AW5" s="37"/>
      <c r="AX5" s="38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39"/>
      <c r="BJ5" s="37"/>
      <c r="BK5" s="38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39"/>
      <c r="BW5" s="37"/>
      <c r="BX5" s="38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39"/>
      <c r="CJ5" s="37"/>
      <c r="CK5" s="38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39"/>
      <c r="CW5" s="37"/>
      <c r="CX5" s="38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39"/>
      <c r="DJ5" s="37"/>
      <c r="DK5" s="38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39"/>
      <c r="DW5" s="37"/>
      <c r="DX5" s="38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39"/>
      <c r="EJ5" s="37"/>
      <c r="EK5" s="38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39"/>
      <c r="EW5" s="37"/>
      <c r="EX5" s="38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39"/>
      <c r="FJ5" s="37"/>
      <c r="FK5" s="38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39"/>
      <c r="FW5" s="37"/>
      <c r="FX5" s="38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39"/>
    </row>
    <row r="6" spans="1:191" x14ac:dyDescent="0.3">
      <c r="B6" s="12" t="s">
        <v>0</v>
      </c>
      <c r="C6" s="16" t="s">
        <v>18</v>
      </c>
      <c r="D6" s="21">
        <v>225.3574016</v>
      </c>
      <c r="E6" s="10">
        <f t="shared" ref="E6:E13" si="0">IF(2.42152697940285*D6^(-0.256817145936596)&gt;1,1,2.42152697940285*D6^(-0.256817145936596))</f>
        <v>0.60232582597250739</v>
      </c>
      <c r="F6" s="10">
        <f t="shared" ref="F6:F13" si="1">IF(2.16599216088011*D6^(-0.223981119529414)&gt;1,1,2.16599216088011*D6^(-0.223981119529414))</f>
        <v>0.64366221390623002</v>
      </c>
      <c r="G6" s="9">
        <v>1508.479462</v>
      </c>
      <c r="H6" s="9">
        <v>1240.1193410000001</v>
      </c>
      <c r="I6" s="20">
        <f t="shared" ref="I6:I11" si="2">(((G6-H6)/1000)*(D6*(1000*1000)))/(365*24*60*60)</f>
        <v>1.9177111733137235</v>
      </c>
      <c r="J6" s="37"/>
      <c r="K6" s="38"/>
      <c r="L6" s="22"/>
      <c r="M6" s="22"/>
      <c r="N6" s="22"/>
      <c r="O6" s="22"/>
      <c r="P6" s="22"/>
      <c r="Q6" s="22"/>
      <c r="R6" s="22"/>
      <c r="S6" s="22"/>
      <c r="T6" s="22"/>
      <c r="U6" s="22"/>
      <c r="V6" s="39"/>
      <c r="W6" s="37"/>
      <c r="X6" s="38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39"/>
      <c r="AJ6" s="37"/>
      <c r="AK6" s="38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39"/>
      <c r="AW6" s="37"/>
      <c r="AX6" s="38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39"/>
      <c r="BJ6" s="37"/>
      <c r="BK6" s="38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39"/>
      <c r="BW6" s="37"/>
      <c r="BX6" s="38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39"/>
      <c r="CJ6" s="37"/>
      <c r="CK6" s="38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39"/>
      <c r="CW6" s="37"/>
      <c r="CX6" s="38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39"/>
      <c r="DJ6" s="37"/>
      <c r="DK6" s="38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39"/>
      <c r="DW6" s="37"/>
      <c r="DX6" s="38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39"/>
      <c r="EJ6" s="37"/>
      <c r="EK6" s="38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39"/>
      <c r="EW6" s="37"/>
      <c r="EX6" s="38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39"/>
      <c r="FJ6" s="37"/>
      <c r="FK6" s="38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39"/>
      <c r="FW6" s="37"/>
      <c r="FX6" s="38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39"/>
    </row>
    <row r="7" spans="1:191" ht="45" x14ac:dyDescent="0.3">
      <c r="B7" s="12" t="s">
        <v>38</v>
      </c>
      <c r="C7" s="16" t="s">
        <v>39</v>
      </c>
      <c r="D7" s="21">
        <v>37.47</v>
      </c>
      <c r="E7" s="10">
        <f t="shared" si="0"/>
        <v>0.95486144388981131</v>
      </c>
      <c r="F7" s="10">
        <f t="shared" si="1"/>
        <v>0.96201411707191686</v>
      </c>
      <c r="G7" s="9">
        <v>1520.8459760000001</v>
      </c>
      <c r="H7" s="9">
        <v>1273.7525479999999</v>
      </c>
      <c r="I7" s="20">
        <f>(((G7-H7)/1000)*(D7*(1000*1000)))/(365*24*60*60)</f>
        <v>0.29358798665525127</v>
      </c>
      <c r="J7" s="37"/>
      <c r="K7" s="38"/>
      <c r="L7" s="22"/>
      <c r="M7" s="22"/>
      <c r="N7" s="22"/>
      <c r="O7" s="22"/>
      <c r="P7" s="22"/>
      <c r="Q7" s="22"/>
      <c r="R7" s="22"/>
      <c r="S7" s="22"/>
      <c r="T7" s="22"/>
      <c r="U7" s="22"/>
      <c r="V7" s="39"/>
      <c r="W7" s="37"/>
      <c r="X7" s="38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39"/>
      <c r="AJ7" s="37"/>
      <c r="AK7" s="38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39"/>
      <c r="AW7" s="37"/>
      <c r="AX7" s="38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39"/>
      <c r="BJ7" s="37"/>
      <c r="BK7" s="38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39"/>
      <c r="BW7" s="37"/>
      <c r="BX7" s="38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39"/>
      <c r="CJ7" s="37"/>
      <c r="CK7" s="38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39"/>
      <c r="CW7" s="37"/>
      <c r="CX7" s="38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39"/>
      <c r="DJ7" s="37"/>
      <c r="DK7" s="38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39"/>
      <c r="DW7" s="37"/>
      <c r="DX7" s="38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39"/>
      <c r="EJ7" s="37"/>
      <c r="EK7" s="38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39"/>
      <c r="EW7" s="37"/>
      <c r="EX7" s="38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39"/>
      <c r="FJ7" s="37"/>
      <c r="FK7" s="38"/>
      <c r="FL7" s="22"/>
      <c r="FM7" s="22"/>
      <c r="FN7" s="22"/>
      <c r="FO7" s="22"/>
      <c r="FP7" s="22"/>
      <c r="FQ7" s="22"/>
      <c r="FR7" s="22"/>
      <c r="FS7" s="22"/>
      <c r="FT7" s="22"/>
      <c r="FU7" s="22"/>
      <c r="FV7" s="39"/>
      <c r="FW7" s="37"/>
      <c r="FX7" s="38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39"/>
    </row>
    <row r="8" spans="1:191" ht="45" x14ac:dyDescent="0.3">
      <c r="B8" s="12" t="s">
        <v>38</v>
      </c>
      <c r="C8" s="16" t="s">
        <v>40</v>
      </c>
      <c r="D8" s="21">
        <v>37.47</v>
      </c>
      <c r="E8" s="22">
        <v>0.60232582597250739</v>
      </c>
      <c r="F8" s="22">
        <v>0.64366221390623002</v>
      </c>
      <c r="G8" s="9">
        <v>1520.8459760000001</v>
      </c>
      <c r="H8" s="9">
        <v>1273.7525479999999</v>
      </c>
      <c r="I8" s="20">
        <f t="shared" si="2"/>
        <v>0.29358798665525127</v>
      </c>
      <c r="J8" s="37"/>
      <c r="K8" s="38"/>
      <c r="L8" s="22"/>
      <c r="M8" s="22"/>
      <c r="N8" s="22"/>
      <c r="O8" s="22"/>
      <c r="P8" s="22"/>
      <c r="Q8" s="22"/>
      <c r="R8" s="22"/>
      <c r="S8" s="22"/>
      <c r="T8" s="22"/>
      <c r="U8" s="22"/>
      <c r="V8" s="39"/>
      <c r="W8" s="37"/>
      <c r="X8" s="38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39"/>
      <c r="AJ8" s="37"/>
      <c r="AK8" s="38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39"/>
      <c r="AW8" s="37"/>
      <c r="AX8" s="38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39"/>
      <c r="BJ8" s="37"/>
      <c r="BK8" s="38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39"/>
      <c r="BW8" s="37"/>
      <c r="BX8" s="38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39"/>
      <c r="CJ8" s="37"/>
      <c r="CK8" s="38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39"/>
      <c r="CW8" s="37"/>
      <c r="CX8" s="38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39"/>
      <c r="DJ8" s="37"/>
      <c r="DK8" s="38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39"/>
      <c r="DW8" s="37"/>
      <c r="DX8" s="38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39"/>
      <c r="EJ8" s="37"/>
      <c r="EK8" s="38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39"/>
      <c r="EW8" s="37"/>
      <c r="EX8" s="38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39"/>
      <c r="FJ8" s="37"/>
      <c r="FK8" s="38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39"/>
      <c r="FW8" s="37"/>
      <c r="FX8" s="38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39"/>
    </row>
    <row r="9" spans="1:191" x14ac:dyDescent="0.3">
      <c r="B9" s="12" t="s">
        <v>1</v>
      </c>
      <c r="C9" s="16" t="s">
        <v>19</v>
      </c>
      <c r="D9" s="21">
        <v>243.1141016</v>
      </c>
      <c r="E9" s="10">
        <f t="shared" si="0"/>
        <v>0.59070732800410519</v>
      </c>
      <c r="F9" s="10">
        <f t="shared" si="1"/>
        <v>0.63282037249019918</v>
      </c>
      <c r="G9" s="9">
        <v>1508.6613649999999</v>
      </c>
      <c r="H9" s="9">
        <v>1243.210047</v>
      </c>
      <c r="I9" s="20">
        <f t="shared" si="2"/>
        <v>2.0463901158709374</v>
      </c>
      <c r="J9" s="37"/>
      <c r="K9" s="38"/>
      <c r="L9" s="22"/>
      <c r="M9" s="22"/>
      <c r="N9" s="22"/>
      <c r="O9" s="22"/>
      <c r="P9" s="22"/>
      <c r="Q9" s="22"/>
      <c r="R9" s="22"/>
      <c r="S9" s="22"/>
      <c r="T9" s="22"/>
      <c r="U9" s="22"/>
      <c r="V9" s="39"/>
      <c r="W9" s="37"/>
      <c r="X9" s="38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39"/>
      <c r="AJ9" s="37"/>
      <c r="AK9" s="38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39"/>
      <c r="AW9" s="37"/>
      <c r="AX9" s="38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39"/>
      <c r="BJ9" s="37"/>
      <c r="BK9" s="38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39"/>
      <c r="BW9" s="37"/>
      <c r="BX9" s="38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39"/>
      <c r="CJ9" s="37"/>
      <c r="CK9" s="38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39"/>
      <c r="CW9" s="37"/>
      <c r="CX9" s="38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39"/>
      <c r="DJ9" s="37"/>
      <c r="DK9" s="38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39"/>
      <c r="DW9" s="37"/>
      <c r="DX9" s="38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39"/>
      <c r="EJ9" s="37"/>
      <c r="EK9" s="38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39"/>
      <c r="EW9" s="37"/>
      <c r="EX9" s="38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39"/>
      <c r="FJ9" s="37"/>
      <c r="FK9" s="38"/>
      <c r="FL9" s="22"/>
      <c r="FM9" s="22"/>
      <c r="FN9" s="22"/>
      <c r="FO9" s="22"/>
      <c r="FP9" s="22"/>
      <c r="FQ9" s="22"/>
      <c r="FR9" s="22"/>
      <c r="FS9" s="22"/>
      <c r="FT9" s="22"/>
      <c r="FU9" s="22"/>
      <c r="FV9" s="39"/>
      <c r="FW9" s="37"/>
      <c r="FX9" s="38"/>
      <c r="FY9" s="22"/>
      <c r="FZ9" s="22"/>
      <c r="GA9" s="22"/>
      <c r="GB9" s="22"/>
      <c r="GC9" s="22"/>
      <c r="GD9" s="22"/>
      <c r="GE9" s="22"/>
      <c r="GF9" s="22"/>
      <c r="GG9" s="22"/>
      <c r="GH9" s="22"/>
      <c r="GI9" s="39"/>
    </row>
    <row r="10" spans="1:191" ht="30" x14ac:dyDescent="0.3">
      <c r="B10" s="12" t="s">
        <v>2</v>
      </c>
      <c r="C10" s="16" t="s">
        <v>23</v>
      </c>
      <c r="D10" s="21">
        <v>15.195</v>
      </c>
      <c r="E10" s="10">
        <f t="shared" si="0"/>
        <v>1</v>
      </c>
      <c r="F10" s="10">
        <f t="shared" si="1"/>
        <v>1</v>
      </c>
      <c r="G10" s="9">
        <v>1518.34827</v>
      </c>
      <c r="H10" s="9">
        <v>1285.808869</v>
      </c>
      <c r="I10" s="20">
        <f t="shared" si="2"/>
        <v>0.11204452683266743</v>
      </c>
      <c r="J10" s="37"/>
      <c r="K10" s="38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39"/>
      <c r="W10" s="37"/>
      <c r="X10" s="38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39"/>
      <c r="AJ10" s="37"/>
      <c r="AK10" s="38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39"/>
      <c r="AW10" s="37"/>
      <c r="AX10" s="38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39"/>
      <c r="BJ10" s="37"/>
      <c r="BK10" s="38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39"/>
      <c r="BW10" s="37"/>
      <c r="BX10" s="38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39"/>
      <c r="CJ10" s="37"/>
      <c r="CK10" s="38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39"/>
      <c r="CW10" s="37"/>
      <c r="CX10" s="38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39"/>
      <c r="DJ10" s="37"/>
      <c r="DK10" s="38"/>
      <c r="DL10" s="22"/>
      <c r="DM10" s="22"/>
      <c r="DN10" s="22"/>
      <c r="DO10" s="22"/>
      <c r="DP10" s="22"/>
      <c r="DQ10" s="22"/>
      <c r="DR10" s="22"/>
      <c r="DS10" s="22"/>
      <c r="DT10" s="22"/>
      <c r="DU10" s="22"/>
      <c r="DV10" s="39"/>
      <c r="DW10" s="37"/>
      <c r="DX10" s="38"/>
      <c r="DY10" s="22"/>
      <c r="DZ10" s="22"/>
      <c r="EA10" s="22"/>
      <c r="EB10" s="22"/>
      <c r="EC10" s="22"/>
      <c r="ED10" s="22"/>
      <c r="EE10" s="22"/>
      <c r="EF10" s="22"/>
      <c r="EG10" s="22"/>
      <c r="EH10" s="22"/>
      <c r="EI10" s="39"/>
      <c r="EJ10" s="37"/>
      <c r="EK10" s="38"/>
      <c r="EL10" s="22"/>
      <c r="EM10" s="22"/>
      <c r="EN10" s="22"/>
      <c r="EO10" s="22"/>
      <c r="EP10" s="22"/>
      <c r="EQ10" s="22"/>
      <c r="ER10" s="22"/>
      <c r="ES10" s="22"/>
      <c r="ET10" s="22"/>
      <c r="EU10" s="22"/>
      <c r="EV10" s="39"/>
      <c r="EW10" s="37"/>
      <c r="EX10" s="38"/>
      <c r="EY10" s="22"/>
      <c r="EZ10" s="22"/>
      <c r="FA10" s="22"/>
      <c r="FB10" s="22"/>
      <c r="FC10" s="22"/>
      <c r="FD10" s="22"/>
      <c r="FE10" s="22"/>
      <c r="FF10" s="22"/>
      <c r="FG10" s="22"/>
      <c r="FH10" s="22"/>
      <c r="FI10" s="39"/>
      <c r="FJ10" s="37"/>
      <c r="FK10" s="38"/>
      <c r="FL10" s="22"/>
      <c r="FM10" s="22"/>
      <c r="FN10" s="22"/>
      <c r="FO10" s="22"/>
      <c r="FP10" s="22"/>
      <c r="FQ10" s="22"/>
      <c r="FR10" s="22"/>
      <c r="FS10" s="22"/>
      <c r="FT10" s="22"/>
      <c r="FU10" s="22"/>
      <c r="FV10" s="39"/>
      <c r="FW10" s="37"/>
      <c r="FX10" s="38"/>
      <c r="FY10" s="22"/>
      <c r="FZ10" s="22"/>
      <c r="GA10" s="22"/>
      <c r="GB10" s="22"/>
      <c r="GC10" s="22"/>
      <c r="GD10" s="22"/>
      <c r="GE10" s="22"/>
      <c r="GF10" s="22"/>
      <c r="GG10" s="22"/>
      <c r="GH10" s="22"/>
      <c r="GI10" s="39"/>
    </row>
    <row r="11" spans="1:191" ht="33" customHeight="1" x14ac:dyDescent="0.3">
      <c r="B11" s="12" t="s">
        <v>2</v>
      </c>
      <c r="C11" s="16" t="s">
        <v>24</v>
      </c>
      <c r="D11" s="21">
        <v>15.195</v>
      </c>
      <c r="E11" s="22">
        <v>0.59070732800410519</v>
      </c>
      <c r="F11" s="22">
        <v>0.63282037249019918</v>
      </c>
      <c r="G11" s="9">
        <v>1518.34827</v>
      </c>
      <c r="H11" s="9">
        <v>1285.808869</v>
      </c>
      <c r="I11" s="20">
        <f t="shared" si="2"/>
        <v>0.11204452683266743</v>
      </c>
      <c r="J11" s="37"/>
      <c r="K11" s="38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39"/>
      <c r="W11" s="37"/>
      <c r="X11" s="38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39"/>
      <c r="AJ11" s="37"/>
      <c r="AK11" s="38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39"/>
      <c r="AW11" s="37"/>
      <c r="AX11" s="38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39"/>
      <c r="BJ11" s="37"/>
      <c r="BK11" s="38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39"/>
      <c r="BW11" s="37"/>
      <c r="BX11" s="38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39"/>
      <c r="CJ11" s="37"/>
      <c r="CK11" s="38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39"/>
      <c r="CW11" s="37"/>
      <c r="CX11" s="38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39"/>
      <c r="DJ11" s="37"/>
      <c r="DK11" s="38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39"/>
      <c r="DW11" s="37"/>
      <c r="DX11" s="38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39"/>
      <c r="EJ11" s="37"/>
      <c r="EK11" s="38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39"/>
      <c r="EW11" s="37"/>
      <c r="EX11" s="38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39"/>
      <c r="FJ11" s="37"/>
      <c r="FK11" s="38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39"/>
      <c r="FW11" s="37"/>
      <c r="FX11" s="38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39"/>
    </row>
    <row r="12" spans="1:191" ht="65.55" customHeight="1" x14ac:dyDescent="0.3">
      <c r="B12" s="12" t="s">
        <v>32</v>
      </c>
      <c r="C12" s="16" t="s">
        <v>37</v>
      </c>
      <c r="D12" s="21">
        <v>2.6736</v>
      </c>
      <c r="E12" s="10">
        <f t="shared" si="0"/>
        <v>1</v>
      </c>
      <c r="F12" s="10">
        <f t="shared" si="1"/>
        <v>1</v>
      </c>
      <c r="G12" s="9"/>
      <c r="H12" s="9"/>
      <c r="I12" s="20"/>
      <c r="J12" s="37"/>
      <c r="K12" s="38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39"/>
      <c r="W12" s="37"/>
      <c r="X12" s="38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39"/>
      <c r="AJ12" s="37"/>
      <c r="AK12" s="38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39"/>
      <c r="AW12" s="37"/>
      <c r="AX12" s="38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39"/>
      <c r="BJ12" s="37"/>
      <c r="BK12" s="38"/>
      <c r="BL12" s="22"/>
      <c r="BM12" s="22"/>
      <c r="BN12" s="22"/>
      <c r="BO12" s="22"/>
      <c r="BP12" s="22"/>
      <c r="BQ12" s="22"/>
      <c r="BR12" s="22"/>
      <c r="BS12" s="22"/>
      <c r="BT12" s="22"/>
      <c r="BU12" s="22"/>
      <c r="BV12" s="39"/>
      <c r="BW12" s="37"/>
      <c r="BX12" s="38"/>
      <c r="BY12" s="22"/>
      <c r="BZ12" s="22"/>
      <c r="CA12" s="22"/>
      <c r="CB12" s="22"/>
      <c r="CC12" s="22"/>
      <c r="CD12" s="22"/>
      <c r="CE12" s="22"/>
      <c r="CF12" s="22"/>
      <c r="CG12" s="22"/>
      <c r="CH12" s="22"/>
      <c r="CI12" s="39"/>
      <c r="CJ12" s="37"/>
      <c r="CK12" s="38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39"/>
      <c r="CW12" s="37"/>
      <c r="CX12" s="38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39"/>
      <c r="DJ12" s="37"/>
      <c r="DK12" s="38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39"/>
      <c r="DW12" s="37"/>
      <c r="DX12" s="38"/>
      <c r="DY12" s="22"/>
      <c r="DZ12" s="22"/>
      <c r="EA12" s="22"/>
      <c r="EB12" s="22"/>
      <c r="EC12" s="22"/>
      <c r="ED12" s="22"/>
      <c r="EE12" s="22"/>
      <c r="EF12" s="22"/>
      <c r="EG12" s="22"/>
      <c r="EH12" s="22"/>
      <c r="EI12" s="39"/>
      <c r="EJ12" s="37"/>
      <c r="EK12" s="38"/>
      <c r="EL12" s="22"/>
      <c r="EM12" s="22"/>
      <c r="EN12" s="22"/>
      <c r="EO12" s="22"/>
      <c r="EP12" s="22"/>
      <c r="EQ12" s="22"/>
      <c r="ER12" s="22"/>
      <c r="ES12" s="22"/>
      <c r="ET12" s="22"/>
      <c r="EU12" s="22"/>
      <c r="EV12" s="39"/>
      <c r="EW12" s="37"/>
      <c r="EX12" s="38"/>
      <c r="EY12" s="22"/>
      <c r="EZ12" s="22"/>
      <c r="FA12" s="22"/>
      <c r="FB12" s="22"/>
      <c r="FC12" s="22"/>
      <c r="FD12" s="22"/>
      <c r="FE12" s="22"/>
      <c r="FF12" s="22"/>
      <c r="FG12" s="22"/>
      <c r="FH12" s="22"/>
      <c r="FI12" s="39"/>
      <c r="FJ12" s="37"/>
      <c r="FK12" s="38"/>
      <c r="FL12" s="22"/>
      <c r="FM12" s="22"/>
      <c r="FN12" s="22"/>
      <c r="FO12" s="22"/>
      <c r="FP12" s="22"/>
      <c r="FQ12" s="22"/>
      <c r="FR12" s="22"/>
      <c r="FS12" s="22"/>
      <c r="FT12" s="22"/>
      <c r="FU12" s="22"/>
      <c r="FV12" s="39"/>
      <c r="FW12" s="37"/>
      <c r="FX12" s="38"/>
      <c r="FY12" s="22"/>
      <c r="FZ12" s="22"/>
      <c r="GA12" s="22"/>
      <c r="GB12" s="22"/>
      <c r="GC12" s="22"/>
      <c r="GD12" s="22"/>
      <c r="GE12" s="22"/>
      <c r="GF12" s="22"/>
      <c r="GG12" s="22"/>
      <c r="GH12" s="22"/>
      <c r="GI12" s="39"/>
    </row>
    <row r="13" spans="1:191" ht="55.35" customHeight="1" x14ac:dyDescent="0.3">
      <c r="B13" s="12" t="s">
        <v>33</v>
      </c>
      <c r="C13" s="16" t="s">
        <v>34</v>
      </c>
      <c r="D13" s="21">
        <v>2.56</v>
      </c>
      <c r="E13" s="10">
        <f t="shared" si="0"/>
        <v>1</v>
      </c>
      <c r="F13" s="10">
        <f t="shared" si="1"/>
        <v>1</v>
      </c>
      <c r="G13" s="9"/>
      <c r="H13" s="9"/>
      <c r="I13" s="20"/>
      <c r="J13" s="37"/>
      <c r="K13" s="38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39"/>
      <c r="W13" s="37"/>
      <c r="X13" s="38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39"/>
      <c r="AJ13" s="37"/>
      <c r="AK13" s="38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39"/>
      <c r="AW13" s="37"/>
      <c r="AX13" s="38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39"/>
      <c r="BJ13" s="37"/>
      <c r="BK13" s="38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39"/>
      <c r="BW13" s="37"/>
      <c r="BX13" s="38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39"/>
      <c r="CJ13" s="37"/>
      <c r="CK13" s="38"/>
      <c r="CL13" s="22"/>
      <c r="CM13" s="22"/>
      <c r="CN13" s="22"/>
      <c r="CO13" s="22"/>
      <c r="CP13" s="22"/>
      <c r="CQ13" s="22"/>
      <c r="CR13" s="22"/>
      <c r="CS13" s="22"/>
      <c r="CT13" s="22"/>
      <c r="CU13" s="22"/>
      <c r="CV13" s="39"/>
      <c r="CW13" s="37"/>
      <c r="CX13" s="38"/>
      <c r="CY13" s="22"/>
      <c r="CZ13" s="22"/>
      <c r="DA13" s="22"/>
      <c r="DB13" s="22"/>
      <c r="DC13" s="22"/>
      <c r="DD13" s="22"/>
      <c r="DE13" s="22"/>
      <c r="DF13" s="22"/>
      <c r="DG13" s="22"/>
      <c r="DH13" s="22"/>
      <c r="DI13" s="39"/>
      <c r="DJ13" s="37"/>
      <c r="DK13" s="38"/>
      <c r="DL13" s="22"/>
      <c r="DM13" s="22"/>
      <c r="DN13" s="22"/>
      <c r="DO13" s="22"/>
      <c r="DP13" s="22"/>
      <c r="DQ13" s="22"/>
      <c r="DR13" s="22"/>
      <c r="DS13" s="22"/>
      <c r="DT13" s="22"/>
      <c r="DU13" s="22"/>
      <c r="DV13" s="39"/>
      <c r="DW13" s="37"/>
      <c r="DX13" s="38"/>
      <c r="DY13" s="22"/>
      <c r="DZ13" s="22"/>
      <c r="EA13" s="22"/>
      <c r="EB13" s="22"/>
      <c r="EC13" s="22"/>
      <c r="ED13" s="22"/>
      <c r="EE13" s="22"/>
      <c r="EF13" s="22"/>
      <c r="EG13" s="22"/>
      <c r="EH13" s="22"/>
      <c r="EI13" s="39"/>
      <c r="EJ13" s="37"/>
      <c r="EK13" s="38"/>
      <c r="EL13" s="22"/>
      <c r="EM13" s="22"/>
      <c r="EN13" s="22"/>
      <c r="EO13" s="22"/>
      <c r="EP13" s="22"/>
      <c r="EQ13" s="22"/>
      <c r="ER13" s="22"/>
      <c r="ES13" s="22"/>
      <c r="ET13" s="22"/>
      <c r="EU13" s="22"/>
      <c r="EV13" s="39"/>
      <c r="EW13" s="37"/>
      <c r="EX13" s="38"/>
      <c r="EY13" s="22"/>
      <c r="EZ13" s="22"/>
      <c r="FA13" s="22"/>
      <c r="FB13" s="22"/>
      <c r="FC13" s="22"/>
      <c r="FD13" s="22"/>
      <c r="FE13" s="22"/>
      <c r="FF13" s="22"/>
      <c r="FG13" s="22"/>
      <c r="FH13" s="22"/>
      <c r="FI13" s="39"/>
      <c r="FJ13" s="37"/>
      <c r="FK13" s="38"/>
      <c r="FL13" s="22"/>
      <c r="FM13" s="22"/>
      <c r="FN13" s="22"/>
      <c r="FO13" s="22"/>
      <c r="FP13" s="22"/>
      <c r="FQ13" s="22"/>
      <c r="FR13" s="22"/>
      <c r="FS13" s="22"/>
      <c r="FT13" s="22"/>
      <c r="FU13" s="22"/>
      <c r="FV13" s="39"/>
      <c r="FW13" s="37"/>
      <c r="FX13" s="38"/>
      <c r="FY13" s="22"/>
      <c r="FZ13" s="22"/>
      <c r="GA13" s="22"/>
      <c r="GB13" s="22"/>
      <c r="GC13" s="22"/>
      <c r="GD13" s="22"/>
      <c r="GE13" s="22"/>
      <c r="GF13" s="22"/>
      <c r="GG13" s="22"/>
      <c r="GH13" s="22"/>
      <c r="GI13" s="39"/>
    </row>
    <row r="14" spans="1:191" x14ac:dyDescent="0.3">
      <c r="B14" s="45" t="s">
        <v>65</v>
      </c>
      <c r="C14" s="46"/>
      <c r="D14" s="47"/>
      <c r="E14" s="48"/>
      <c r="F14" s="48"/>
      <c r="G14" s="49"/>
      <c r="H14" s="49"/>
      <c r="I14" s="50"/>
      <c r="J14" s="37"/>
      <c r="K14" s="38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39"/>
      <c r="W14" s="37"/>
      <c r="X14" s="38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39"/>
      <c r="AJ14" s="37"/>
      <c r="AK14" s="38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39"/>
      <c r="AW14" s="37"/>
      <c r="AX14" s="38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39"/>
      <c r="BJ14" s="37"/>
      <c r="BK14" s="38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39"/>
      <c r="BW14" s="37"/>
      <c r="BX14" s="38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39"/>
      <c r="CJ14" s="37"/>
      <c r="CK14" s="38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39"/>
      <c r="CW14" s="37"/>
      <c r="CX14" s="38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39"/>
      <c r="DJ14" s="37"/>
      <c r="DK14" s="38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39"/>
      <c r="DW14" s="37"/>
      <c r="DX14" s="38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39"/>
      <c r="EJ14" s="37"/>
      <c r="EK14" s="38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39"/>
      <c r="EW14" s="37"/>
      <c r="EX14" s="38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39"/>
      <c r="FJ14" s="37"/>
      <c r="FK14" s="38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39"/>
      <c r="FW14" s="37"/>
      <c r="FX14" s="38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39"/>
    </row>
    <row r="15" spans="1:191" s="26" customFormat="1" x14ac:dyDescent="0.3">
      <c r="A15" s="1"/>
      <c r="B15" s="23"/>
      <c r="C15" s="24" t="s">
        <v>27</v>
      </c>
      <c r="D15" s="24"/>
      <c r="E15" s="24"/>
      <c r="F15" s="24"/>
      <c r="G15" s="24"/>
      <c r="H15" s="24"/>
      <c r="I15" s="25"/>
      <c r="J15" s="40"/>
      <c r="K15" s="41"/>
      <c r="L15" s="42"/>
      <c r="M15" s="42"/>
      <c r="N15" s="42"/>
      <c r="O15" s="42"/>
      <c r="P15" s="42"/>
      <c r="Q15" s="42"/>
      <c r="R15" s="42"/>
      <c r="S15" s="42"/>
      <c r="T15" s="43"/>
      <c r="U15" s="43"/>
      <c r="V15" s="44"/>
      <c r="W15" s="40"/>
      <c r="X15" s="41"/>
      <c r="Y15" s="42"/>
      <c r="Z15" s="42"/>
      <c r="AA15" s="42"/>
      <c r="AB15" s="42"/>
      <c r="AC15" s="42"/>
      <c r="AD15" s="42"/>
      <c r="AE15" s="42"/>
      <c r="AF15" s="42"/>
      <c r="AG15" s="43"/>
      <c r="AH15" s="43"/>
      <c r="AI15" s="44"/>
      <c r="AJ15" s="40"/>
      <c r="AK15" s="41"/>
      <c r="AL15" s="42"/>
      <c r="AM15" s="42"/>
      <c r="AN15" s="42"/>
      <c r="AO15" s="42"/>
      <c r="AP15" s="42"/>
      <c r="AQ15" s="42"/>
      <c r="AR15" s="42"/>
      <c r="AS15" s="42"/>
      <c r="AT15" s="43"/>
      <c r="AU15" s="43"/>
      <c r="AV15" s="44"/>
      <c r="AW15" s="40"/>
      <c r="AX15" s="41"/>
      <c r="AY15" s="42"/>
      <c r="AZ15" s="42"/>
      <c r="BA15" s="42"/>
      <c r="BB15" s="42"/>
      <c r="BC15" s="42"/>
      <c r="BD15" s="42"/>
      <c r="BE15" s="42"/>
      <c r="BF15" s="42"/>
      <c r="BG15" s="43"/>
      <c r="BH15" s="43"/>
      <c r="BI15" s="44"/>
      <c r="BJ15" s="40"/>
      <c r="BK15" s="41"/>
      <c r="BL15" s="42"/>
      <c r="BM15" s="42"/>
      <c r="BN15" s="42"/>
      <c r="BO15" s="42"/>
      <c r="BP15" s="42"/>
      <c r="BQ15" s="42"/>
      <c r="BR15" s="42"/>
      <c r="BS15" s="42"/>
      <c r="BT15" s="43"/>
      <c r="BU15" s="43"/>
      <c r="BV15" s="44"/>
      <c r="BW15" s="40"/>
      <c r="BX15" s="41"/>
      <c r="BY15" s="42"/>
      <c r="BZ15" s="42"/>
      <c r="CA15" s="42"/>
      <c r="CB15" s="42"/>
      <c r="CC15" s="42"/>
      <c r="CD15" s="42"/>
      <c r="CE15" s="42"/>
      <c r="CF15" s="42"/>
      <c r="CG15" s="43"/>
      <c r="CH15" s="43"/>
      <c r="CI15" s="44"/>
      <c r="CJ15" s="40"/>
      <c r="CK15" s="41"/>
      <c r="CL15" s="42"/>
      <c r="CM15" s="42"/>
      <c r="CN15" s="42"/>
      <c r="CO15" s="42"/>
      <c r="CP15" s="42"/>
      <c r="CQ15" s="42"/>
      <c r="CR15" s="42"/>
      <c r="CS15" s="42"/>
      <c r="CT15" s="43"/>
      <c r="CU15" s="43"/>
      <c r="CV15" s="44"/>
      <c r="CW15" s="40"/>
      <c r="CX15" s="41"/>
      <c r="CY15" s="42"/>
      <c r="CZ15" s="42"/>
      <c r="DA15" s="42"/>
      <c r="DB15" s="42"/>
      <c r="DC15" s="42"/>
      <c r="DD15" s="42"/>
      <c r="DE15" s="42"/>
      <c r="DF15" s="42"/>
      <c r="DG15" s="43"/>
      <c r="DH15" s="43"/>
      <c r="DI15" s="44"/>
      <c r="DJ15" s="40"/>
      <c r="DK15" s="41"/>
      <c r="DL15" s="42"/>
      <c r="DM15" s="42"/>
      <c r="DN15" s="42"/>
      <c r="DO15" s="42"/>
      <c r="DP15" s="42"/>
      <c r="DQ15" s="42"/>
      <c r="DR15" s="42"/>
      <c r="DS15" s="42"/>
      <c r="DT15" s="43"/>
      <c r="DU15" s="43"/>
      <c r="DV15" s="44"/>
      <c r="DW15" s="40"/>
      <c r="DX15" s="41"/>
      <c r="DY15" s="42"/>
      <c r="DZ15" s="42"/>
      <c r="EA15" s="42"/>
      <c r="EB15" s="42"/>
      <c r="EC15" s="42"/>
      <c r="ED15" s="42"/>
      <c r="EE15" s="42"/>
      <c r="EF15" s="42"/>
      <c r="EG15" s="43"/>
      <c r="EH15" s="43"/>
      <c r="EI15" s="44"/>
      <c r="EJ15" s="40"/>
      <c r="EK15" s="41"/>
      <c r="EL15" s="42"/>
      <c r="EM15" s="42"/>
      <c r="EN15" s="42"/>
      <c r="EO15" s="42"/>
      <c r="EP15" s="42"/>
      <c r="EQ15" s="42"/>
      <c r="ER15" s="42"/>
      <c r="ES15" s="42"/>
      <c r="ET15" s="43"/>
      <c r="EU15" s="43"/>
      <c r="EV15" s="44"/>
      <c r="EW15" s="40"/>
      <c r="EX15" s="41"/>
      <c r="EY15" s="42"/>
      <c r="EZ15" s="42"/>
      <c r="FA15" s="42"/>
      <c r="FB15" s="42"/>
      <c r="FC15" s="42"/>
      <c r="FD15" s="42"/>
      <c r="FE15" s="42"/>
      <c r="FF15" s="42"/>
      <c r="FG15" s="43"/>
      <c r="FH15" s="43"/>
      <c r="FI15" s="44"/>
      <c r="FJ15" s="40"/>
      <c r="FK15" s="41"/>
      <c r="FL15" s="42"/>
      <c r="FM15" s="42"/>
      <c r="FN15" s="42"/>
      <c r="FO15" s="42"/>
      <c r="FP15" s="42"/>
      <c r="FQ15" s="42"/>
      <c r="FR15" s="42"/>
      <c r="FS15" s="42"/>
      <c r="FT15" s="43"/>
      <c r="FU15" s="43"/>
      <c r="FV15" s="44"/>
      <c r="FW15" s="40"/>
      <c r="FX15" s="41"/>
      <c r="FY15" s="42"/>
      <c r="FZ15" s="42"/>
      <c r="GA15" s="42"/>
      <c r="GB15" s="42"/>
      <c r="GC15" s="42"/>
      <c r="GD15" s="42"/>
      <c r="GE15" s="42"/>
      <c r="GF15" s="42"/>
      <c r="GG15" s="43"/>
      <c r="GH15" s="43"/>
      <c r="GI15" s="44"/>
    </row>
    <row r="16" spans="1:191" s="26" customFormat="1" ht="30" x14ac:dyDescent="0.3">
      <c r="A16" s="1"/>
      <c r="B16" s="23"/>
      <c r="C16" s="16" t="s">
        <v>62</v>
      </c>
      <c r="D16" s="24"/>
      <c r="E16" s="24"/>
      <c r="F16" s="24"/>
      <c r="G16" s="24"/>
      <c r="H16" s="24"/>
      <c r="I16" s="25"/>
      <c r="J16" s="40"/>
      <c r="K16" s="41"/>
      <c r="L16" s="42"/>
      <c r="M16" s="42"/>
      <c r="N16" s="42"/>
      <c r="O16" s="42"/>
      <c r="P16" s="42"/>
      <c r="Q16" s="42"/>
      <c r="R16" s="42"/>
      <c r="S16" s="42"/>
      <c r="T16" s="43"/>
      <c r="U16" s="43"/>
      <c r="V16" s="44"/>
      <c r="W16" s="40"/>
      <c r="X16" s="41"/>
      <c r="Y16" s="42"/>
      <c r="Z16" s="42"/>
      <c r="AA16" s="42"/>
      <c r="AB16" s="42"/>
      <c r="AC16" s="42"/>
      <c r="AD16" s="42"/>
      <c r="AE16" s="42"/>
      <c r="AF16" s="42"/>
      <c r="AG16" s="43"/>
      <c r="AH16" s="43"/>
      <c r="AI16" s="44"/>
      <c r="AJ16" s="40"/>
      <c r="AK16" s="41"/>
      <c r="AL16" s="42"/>
      <c r="AM16" s="42"/>
      <c r="AN16" s="42"/>
      <c r="AO16" s="42"/>
      <c r="AP16" s="42"/>
      <c r="AQ16" s="42"/>
      <c r="AR16" s="42"/>
      <c r="AS16" s="42"/>
      <c r="AT16" s="43"/>
      <c r="AU16" s="43"/>
      <c r="AV16" s="44"/>
      <c r="AW16" s="40"/>
      <c r="AX16" s="41"/>
      <c r="AY16" s="42"/>
      <c r="AZ16" s="42"/>
      <c r="BA16" s="42"/>
      <c r="BB16" s="42"/>
      <c r="BC16" s="42"/>
      <c r="BD16" s="42"/>
      <c r="BE16" s="42"/>
      <c r="BF16" s="42"/>
      <c r="BG16" s="43"/>
      <c r="BH16" s="43"/>
      <c r="BI16" s="44"/>
      <c r="BJ16" s="40"/>
      <c r="BK16" s="41"/>
      <c r="BL16" s="42"/>
      <c r="BM16" s="42"/>
      <c r="BN16" s="42"/>
      <c r="BO16" s="42"/>
      <c r="BP16" s="42"/>
      <c r="BQ16" s="42"/>
      <c r="BR16" s="42"/>
      <c r="BS16" s="42"/>
      <c r="BT16" s="43"/>
      <c r="BU16" s="43"/>
      <c r="BV16" s="44"/>
      <c r="BW16" s="40"/>
      <c r="BX16" s="41"/>
      <c r="BY16" s="42"/>
      <c r="BZ16" s="42"/>
      <c r="CA16" s="42"/>
      <c r="CB16" s="42"/>
      <c r="CC16" s="42"/>
      <c r="CD16" s="42"/>
      <c r="CE16" s="42"/>
      <c r="CF16" s="42"/>
      <c r="CG16" s="43"/>
      <c r="CH16" s="43"/>
      <c r="CI16" s="44"/>
      <c r="CJ16" s="40"/>
      <c r="CK16" s="41"/>
      <c r="CL16" s="42"/>
      <c r="CM16" s="42"/>
      <c r="CN16" s="42"/>
      <c r="CO16" s="42"/>
      <c r="CP16" s="42"/>
      <c r="CQ16" s="42"/>
      <c r="CR16" s="42"/>
      <c r="CS16" s="42"/>
      <c r="CT16" s="43"/>
      <c r="CU16" s="43"/>
      <c r="CV16" s="44"/>
      <c r="CW16" s="40"/>
      <c r="CX16" s="41"/>
      <c r="CY16" s="42"/>
      <c r="CZ16" s="42"/>
      <c r="DA16" s="42"/>
      <c r="DB16" s="42"/>
      <c r="DC16" s="42"/>
      <c r="DD16" s="42"/>
      <c r="DE16" s="42"/>
      <c r="DF16" s="42"/>
      <c r="DG16" s="43"/>
      <c r="DH16" s="43"/>
      <c r="DI16" s="44"/>
      <c r="DJ16" s="40"/>
      <c r="DK16" s="41"/>
      <c r="DL16" s="42"/>
      <c r="DM16" s="42"/>
      <c r="DN16" s="42"/>
      <c r="DO16" s="42"/>
      <c r="DP16" s="42"/>
      <c r="DQ16" s="42"/>
      <c r="DR16" s="42"/>
      <c r="DS16" s="42"/>
      <c r="DT16" s="43"/>
      <c r="DU16" s="43"/>
      <c r="DV16" s="44"/>
      <c r="DW16" s="40"/>
      <c r="DX16" s="41"/>
      <c r="DY16" s="42"/>
      <c r="DZ16" s="42"/>
      <c r="EA16" s="42"/>
      <c r="EB16" s="42"/>
      <c r="EC16" s="42"/>
      <c r="ED16" s="42"/>
      <c r="EE16" s="42"/>
      <c r="EF16" s="42"/>
      <c r="EG16" s="43"/>
      <c r="EH16" s="43"/>
      <c r="EI16" s="44"/>
      <c r="EJ16" s="40"/>
      <c r="EK16" s="41"/>
      <c r="EL16" s="42"/>
      <c r="EM16" s="42"/>
      <c r="EN16" s="42"/>
      <c r="EO16" s="42"/>
      <c r="EP16" s="42"/>
      <c r="EQ16" s="42"/>
      <c r="ER16" s="42"/>
      <c r="ES16" s="42"/>
      <c r="ET16" s="43"/>
      <c r="EU16" s="43"/>
      <c r="EV16" s="44"/>
      <c r="EW16" s="40"/>
      <c r="EX16" s="41"/>
      <c r="EY16" s="42"/>
      <c r="EZ16" s="42"/>
      <c r="FA16" s="42"/>
      <c r="FB16" s="42"/>
      <c r="FC16" s="42"/>
      <c r="FD16" s="42"/>
      <c r="FE16" s="42"/>
      <c r="FF16" s="42"/>
      <c r="FG16" s="43"/>
      <c r="FH16" s="43"/>
      <c r="FI16" s="44"/>
      <c r="FJ16" s="40"/>
      <c r="FK16" s="41"/>
      <c r="FL16" s="42"/>
      <c r="FM16" s="42"/>
      <c r="FN16" s="42"/>
      <c r="FO16" s="42"/>
      <c r="FP16" s="42"/>
      <c r="FQ16" s="42"/>
      <c r="FR16" s="42"/>
      <c r="FS16" s="42"/>
      <c r="FT16" s="43"/>
      <c r="FU16" s="43"/>
      <c r="FV16" s="44"/>
      <c r="FW16" s="40"/>
      <c r="FX16" s="41"/>
      <c r="FY16" s="42"/>
      <c r="FZ16" s="42"/>
      <c r="GA16" s="42"/>
      <c r="GB16" s="42"/>
      <c r="GC16" s="42"/>
      <c r="GD16" s="42"/>
      <c r="GE16" s="42"/>
      <c r="GF16" s="42"/>
      <c r="GG16" s="43"/>
      <c r="GH16" s="43"/>
      <c r="GI16" s="44"/>
    </row>
    <row r="17" spans="1:191" s="26" customFormat="1" x14ac:dyDescent="0.3">
      <c r="A17" s="1"/>
      <c r="B17" s="23"/>
      <c r="C17" s="24" t="s">
        <v>63</v>
      </c>
      <c r="D17" s="24"/>
      <c r="E17" s="24"/>
      <c r="F17" s="24"/>
      <c r="G17" s="24"/>
      <c r="H17" s="24"/>
      <c r="I17" s="25"/>
      <c r="J17" s="40"/>
      <c r="K17" s="41"/>
      <c r="L17" s="42"/>
      <c r="M17" s="42"/>
      <c r="N17" s="42"/>
      <c r="O17" s="42"/>
      <c r="P17" s="42"/>
      <c r="Q17" s="42"/>
      <c r="R17" s="42"/>
      <c r="S17" s="42"/>
      <c r="T17" s="43"/>
      <c r="U17" s="43"/>
      <c r="V17" s="44"/>
      <c r="W17" s="40"/>
      <c r="X17" s="41"/>
      <c r="Y17" s="42"/>
      <c r="Z17" s="42"/>
      <c r="AA17" s="42"/>
      <c r="AB17" s="42"/>
      <c r="AC17" s="42"/>
      <c r="AD17" s="42"/>
      <c r="AE17" s="42"/>
      <c r="AF17" s="42"/>
      <c r="AG17" s="43"/>
      <c r="AH17" s="43"/>
      <c r="AI17" s="44"/>
      <c r="AJ17" s="40"/>
      <c r="AK17" s="41"/>
      <c r="AL17" s="42"/>
      <c r="AM17" s="42"/>
      <c r="AN17" s="42"/>
      <c r="AO17" s="42"/>
      <c r="AP17" s="42"/>
      <c r="AQ17" s="42"/>
      <c r="AR17" s="42"/>
      <c r="AS17" s="42"/>
      <c r="AT17" s="43"/>
      <c r="AU17" s="43"/>
      <c r="AV17" s="44"/>
      <c r="AW17" s="40"/>
      <c r="AX17" s="41"/>
      <c r="AY17" s="42"/>
      <c r="AZ17" s="42"/>
      <c r="BA17" s="42"/>
      <c r="BB17" s="42"/>
      <c r="BC17" s="42"/>
      <c r="BD17" s="42"/>
      <c r="BE17" s="42"/>
      <c r="BF17" s="42"/>
      <c r="BG17" s="43"/>
      <c r="BH17" s="43"/>
      <c r="BI17" s="44"/>
      <c r="BJ17" s="40"/>
      <c r="BK17" s="41"/>
      <c r="BL17" s="42"/>
      <c r="BM17" s="42"/>
      <c r="BN17" s="42"/>
      <c r="BO17" s="42"/>
      <c r="BP17" s="42"/>
      <c r="BQ17" s="42"/>
      <c r="BR17" s="42"/>
      <c r="BS17" s="42"/>
      <c r="BT17" s="43"/>
      <c r="BU17" s="43"/>
      <c r="BV17" s="44"/>
      <c r="BW17" s="40"/>
      <c r="BX17" s="41"/>
      <c r="BY17" s="42"/>
      <c r="BZ17" s="42"/>
      <c r="CA17" s="42"/>
      <c r="CB17" s="42"/>
      <c r="CC17" s="42"/>
      <c r="CD17" s="42"/>
      <c r="CE17" s="42"/>
      <c r="CF17" s="42"/>
      <c r="CG17" s="43"/>
      <c r="CH17" s="43"/>
      <c r="CI17" s="44"/>
      <c r="CJ17" s="40"/>
      <c r="CK17" s="41"/>
      <c r="CL17" s="42"/>
      <c r="CM17" s="42"/>
      <c r="CN17" s="42"/>
      <c r="CO17" s="42"/>
      <c r="CP17" s="42"/>
      <c r="CQ17" s="42"/>
      <c r="CR17" s="42"/>
      <c r="CS17" s="42"/>
      <c r="CT17" s="43"/>
      <c r="CU17" s="43"/>
      <c r="CV17" s="44"/>
      <c r="CW17" s="40"/>
      <c r="CX17" s="41"/>
      <c r="CY17" s="42"/>
      <c r="CZ17" s="42"/>
      <c r="DA17" s="42"/>
      <c r="DB17" s="42"/>
      <c r="DC17" s="42"/>
      <c r="DD17" s="42"/>
      <c r="DE17" s="42"/>
      <c r="DF17" s="42"/>
      <c r="DG17" s="43"/>
      <c r="DH17" s="43"/>
      <c r="DI17" s="44"/>
      <c r="DJ17" s="40"/>
      <c r="DK17" s="41"/>
      <c r="DL17" s="42"/>
      <c r="DM17" s="42"/>
      <c r="DN17" s="42"/>
      <c r="DO17" s="42"/>
      <c r="DP17" s="42"/>
      <c r="DQ17" s="42"/>
      <c r="DR17" s="42"/>
      <c r="DS17" s="42"/>
      <c r="DT17" s="43"/>
      <c r="DU17" s="43"/>
      <c r="DV17" s="44"/>
      <c r="DW17" s="40"/>
      <c r="DX17" s="41"/>
      <c r="DY17" s="42"/>
      <c r="DZ17" s="42"/>
      <c r="EA17" s="42"/>
      <c r="EB17" s="42"/>
      <c r="EC17" s="42"/>
      <c r="ED17" s="42"/>
      <c r="EE17" s="42"/>
      <c r="EF17" s="42"/>
      <c r="EG17" s="43"/>
      <c r="EH17" s="43"/>
      <c r="EI17" s="44"/>
      <c r="EJ17" s="40"/>
      <c r="EK17" s="41"/>
      <c r="EL17" s="42"/>
      <c r="EM17" s="42"/>
      <c r="EN17" s="42"/>
      <c r="EO17" s="42"/>
      <c r="EP17" s="42"/>
      <c r="EQ17" s="42"/>
      <c r="ER17" s="42"/>
      <c r="ES17" s="42"/>
      <c r="ET17" s="43"/>
      <c r="EU17" s="43"/>
      <c r="EV17" s="44"/>
      <c r="EW17" s="40"/>
      <c r="EX17" s="41"/>
      <c r="EY17" s="42"/>
      <c r="EZ17" s="42"/>
      <c r="FA17" s="42"/>
      <c r="FB17" s="42"/>
      <c r="FC17" s="42"/>
      <c r="FD17" s="42"/>
      <c r="FE17" s="42"/>
      <c r="FF17" s="42"/>
      <c r="FG17" s="43"/>
      <c r="FH17" s="43"/>
      <c r="FI17" s="44"/>
      <c r="FJ17" s="40"/>
      <c r="FK17" s="41"/>
      <c r="FL17" s="42"/>
      <c r="FM17" s="42"/>
      <c r="FN17" s="42"/>
      <c r="FO17" s="42"/>
      <c r="FP17" s="42"/>
      <c r="FQ17" s="42"/>
      <c r="FR17" s="42"/>
      <c r="FS17" s="42"/>
      <c r="FT17" s="43"/>
      <c r="FU17" s="43"/>
      <c r="FV17" s="44"/>
      <c r="FW17" s="40"/>
      <c r="FX17" s="41"/>
      <c r="FY17" s="42"/>
      <c r="FZ17" s="42"/>
      <c r="GA17" s="42"/>
      <c r="GB17" s="42"/>
      <c r="GC17" s="42"/>
      <c r="GD17" s="42"/>
      <c r="GE17" s="42"/>
      <c r="GF17" s="42"/>
      <c r="GG17" s="43"/>
      <c r="GH17" s="43"/>
      <c r="GI17" s="44"/>
    </row>
    <row r="18" spans="1:191" s="26" customFormat="1" ht="30" x14ac:dyDescent="0.3">
      <c r="A18" s="1"/>
      <c r="B18" s="23"/>
      <c r="C18" s="16" t="s">
        <v>30</v>
      </c>
      <c r="D18" s="24"/>
      <c r="E18" s="24"/>
      <c r="F18" s="24"/>
      <c r="G18" s="24"/>
      <c r="H18" s="24"/>
      <c r="I18" s="25"/>
      <c r="J18" s="40"/>
      <c r="K18" s="41"/>
      <c r="L18" s="42"/>
      <c r="M18" s="42"/>
      <c r="N18" s="42"/>
      <c r="O18" s="42"/>
      <c r="P18" s="42"/>
      <c r="Q18" s="42"/>
      <c r="R18" s="42"/>
      <c r="S18" s="42"/>
      <c r="T18" s="43"/>
      <c r="U18" s="43"/>
      <c r="V18" s="44"/>
      <c r="W18" s="40"/>
      <c r="X18" s="41"/>
      <c r="Y18" s="42"/>
      <c r="Z18" s="42"/>
      <c r="AA18" s="42"/>
      <c r="AB18" s="42"/>
      <c r="AC18" s="42"/>
      <c r="AD18" s="42"/>
      <c r="AE18" s="42"/>
      <c r="AF18" s="42"/>
      <c r="AG18" s="43"/>
      <c r="AH18" s="43"/>
      <c r="AI18" s="44"/>
      <c r="AJ18" s="40"/>
      <c r="AK18" s="41"/>
      <c r="AL18" s="42"/>
      <c r="AM18" s="42"/>
      <c r="AN18" s="42"/>
      <c r="AO18" s="42"/>
      <c r="AP18" s="42"/>
      <c r="AQ18" s="42"/>
      <c r="AR18" s="42"/>
      <c r="AS18" s="42"/>
      <c r="AT18" s="43"/>
      <c r="AU18" s="43"/>
      <c r="AV18" s="44"/>
      <c r="AW18" s="40"/>
      <c r="AX18" s="41"/>
      <c r="AY18" s="42"/>
      <c r="AZ18" s="42"/>
      <c r="BA18" s="42"/>
      <c r="BB18" s="42"/>
      <c r="BC18" s="42"/>
      <c r="BD18" s="42"/>
      <c r="BE18" s="42"/>
      <c r="BF18" s="42"/>
      <c r="BG18" s="43"/>
      <c r="BH18" s="43"/>
      <c r="BI18" s="44"/>
      <c r="BJ18" s="40"/>
      <c r="BK18" s="41"/>
      <c r="BL18" s="42"/>
      <c r="BM18" s="42"/>
      <c r="BN18" s="42"/>
      <c r="BO18" s="42"/>
      <c r="BP18" s="42"/>
      <c r="BQ18" s="42"/>
      <c r="BR18" s="42"/>
      <c r="BS18" s="42"/>
      <c r="BT18" s="43"/>
      <c r="BU18" s="43"/>
      <c r="BV18" s="44"/>
      <c r="BW18" s="40"/>
      <c r="BX18" s="41"/>
      <c r="BY18" s="42"/>
      <c r="BZ18" s="42"/>
      <c r="CA18" s="42"/>
      <c r="CB18" s="42"/>
      <c r="CC18" s="42"/>
      <c r="CD18" s="42"/>
      <c r="CE18" s="42"/>
      <c r="CF18" s="42"/>
      <c r="CG18" s="43"/>
      <c r="CH18" s="43"/>
      <c r="CI18" s="44"/>
      <c r="CJ18" s="40"/>
      <c r="CK18" s="41"/>
      <c r="CL18" s="42"/>
      <c r="CM18" s="42"/>
      <c r="CN18" s="42"/>
      <c r="CO18" s="42"/>
      <c r="CP18" s="42"/>
      <c r="CQ18" s="42"/>
      <c r="CR18" s="42"/>
      <c r="CS18" s="42"/>
      <c r="CT18" s="43"/>
      <c r="CU18" s="43"/>
      <c r="CV18" s="44"/>
      <c r="CW18" s="40"/>
      <c r="CX18" s="41"/>
      <c r="CY18" s="42"/>
      <c r="CZ18" s="42"/>
      <c r="DA18" s="42"/>
      <c r="DB18" s="42"/>
      <c r="DC18" s="42"/>
      <c r="DD18" s="42"/>
      <c r="DE18" s="42"/>
      <c r="DF18" s="42"/>
      <c r="DG18" s="43"/>
      <c r="DH18" s="43"/>
      <c r="DI18" s="44"/>
      <c r="DJ18" s="40"/>
      <c r="DK18" s="41"/>
      <c r="DL18" s="42"/>
      <c r="DM18" s="42"/>
      <c r="DN18" s="42"/>
      <c r="DO18" s="42"/>
      <c r="DP18" s="42"/>
      <c r="DQ18" s="42"/>
      <c r="DR18" s="42"/>
      <c r="DS18" s="42"/>
      <c r="DT18" s="43"/>
      <c r="DU18" s="43"/>
      <c r="DV18" s="44"/>
      <c r="DW18" s="40"/>
      <c r="DX18" s="41"/>
      <c r="DY18" s="42"/>
      <c r="DZ18" s="42"/>
      <c r="EA18" s="42"/>
      <c r="EB18" s="42"/>
      <c r="EC18" s="42"/>
      <c r="ED18" s="42"/>
      <c r="EE18" s="42"/>
      <c r="EF18" s="42"/>
      <c r="EG18" s="43"/>
      <c r="EH18" s="43"/>
      <c r="EI18" s="44"/>
      <c r="EJ18" s="40"/>
      <c r="EK18" s="41"/>
      <c r="EL18" s="42"/>
      <c r="EM18" s="42"/>
      <c r="EN18" s="42"/>
      <c r="EO18" s="42"/>
      <c r="EP18" s="42"/>
      <c r="EQ18" s="42"/>
      <c r="ER18" s="42"/>
      <c r="ES18" s="42"/>
      <c r="ET18" s="43"/>
      <c r="EU18" s="43"/>
      <c r="EV18" s="44"/>
      <c r="EW18" s="40"/>
      <c r="EX18" s="41"/>
      <c r="EY18" s="42"/>
      <c r="EZ18" s="42"/>
      <c r="FA18" s="42"/>
      <c r="FB18" s="42"/>
      <c r="FC18" s="42"/>
      <c r="FD18" s="42"/>
      <c r="FE18" s="42"/>
      <c r="FF18" s="42"/>
      <c r="FG18" s="43"/>
      <c r="FH18" s="43"/>
      <c r="FI18" s="44"/>
      <c r="FJ18" s="40"/>
      <c r="FK18" s="41"/>
      <c r="FL18" s="42"/>
      <c r="FM18" s="42"/>
      <c r="FN18" s="42"/>
      <c r="FO18" s="42"/>
      <c r="FP18" s="42"/>
      <c r="FQ18" s="42"/>
      <c r="FR18" s="42"/>
      <c r="FS18" s="42"/>
      <c r="FT18" s="43"/>
      <c r="FU18" s="43"/>
      <c r="FV18" s="44"/>
      <c r="FW18" s="40"/>
      <c r="FX18" s="41"/>
      <c r="FY18" s="42"/>
      <c r="FZ18" s="42"/>
      <c r="GA18" s="42"/>
      <c r="GB18" s="42"/>
      <c r="GC18" s="42"/>
      <c r="GD18" s="42"/>
      <c r="GE18" s="42"/>
      <c r="GF18" s="42"/>
      <c r="GG18" s="43"/>
      <c r="GH18" s="43"/>
      <c r="GI18" s="44"/>
    </row>
    <row r="19" spans="1:191" s="26" customFormat="1" x14ac:dyDescent="0.3">
      <c r="A19" s="1"/>
      <c r="B19" s="23"/>
      <c r="C19" s="24" t="s">
        <v>25</v>
      </c>
      <c r="D19" s="24"/>
      <c r="E19" s="24"/>
      <c r="F19" s="24"/>
      <c r="G19" s="24"/>
      <c r="H19" s="24"/>
      <c r="I19" s="25"/>
      <c r="J19" s="40"/>
      <c r="K19" s="41"/>
      <c r="L19" s="42"/>
      <c r="M19" s="42"/>
      <c r="N19" s="42"/>
      <c r="O19" s="42"/>
      <c r="P19" s="42"/>
      <c r="Q19" s="42"/>
      <c r="R19" s="42"/>
      <c r="S19" s="42"/>
      <c r="T19" s="43"/>
      <c r="U19" s="43"/>
      <c r="V19" s="44"/>
      <c r="W19" s="40"/>
      <c r="X19" s="41"/>
      <c r="Y19" s="42"/>
      <c r="Z19" s="42"/>
      <c r="AA19" s="42"/>
      <c r="AB19" s="42"/>
      <c r="AC19" s="42"/>
      <c r="AD19" s="42"/>
      <c r="AE19" s="42"/>
      <c r="AF19" s="42"/>
      <c r="AG19" s="43"/>
      <c r="AH19" s="43"/>
      <c r="AI19" s="44"/>
      <c r="AJ19" s="40"/>
      <c r="AK19" s="41"/>
      <c r="AL19" s="42"/>
      <c r="AM19" s="42"/>
      <c r="AN19" s="42"/>
      <c r="AO19" s="42"/>
      <c r="AP19" s="42"/>
      <c r="AQ19" s="42"/>
      <c r="AR19" s="42"/>
      <c r="AS19" s="42"/>
      <c r="AT19" s="43"/>
      <c r="AU19" s="43"/>
      <c r="AV19" s="44"/>
      <c r="AW19" s="40"/>
      <c r="AX19" s="41"/>
      <c r="AY19" s="42"/>
      <c r="AZ19" s="42"/>
      <c r="BA19" s="42"/>
      <c r="BB19" s="42"/>
      <c r="BC19" s="42"/>
      <c r="BD19" s="42"/>
      <c r="BE19" s="42"/>
      <c r="BF19" s="42"/>
      <c r="BG19" s="43"/>
      <c r="BH19" s="43"/>
      <c r="BI19" s="44"/>
      <c r="BJ19" s="40"/>
      <c r="BK19" s="41"/>
      <c r="BL19" s="42"/>
      <c r="BM19" s="42"/>
      <c r="BN19" s="42"/>
      <c r="BO19" s="42"/>
      <c r="BP19" s="42"/>
      <c r="BQ19" s="42"/>
      <c r="BR19" s="42"/>
      <c r="BS19" s="42"/>
      <c r="BT19" s="43"/>
      <c r="BU19" s="43"/>
      <c r="BV19" s="44"/>
      <c r="BW19" s="40"/>
      <c r="BX19" s="41"/>
      <c r="BY19" s="42"/>
      <c r="BZ19" s="42"/>
      <c r="CA19" s="42"/>
      <c r="CB19" s="42"/>
      <c r="CC19" s="42"/>
      <c r="CD19" s="42"/>
      <c r="CE19" s="42"/>
      <c r="CF19" s="42"/>
      <c r="CG19" s="43"/>
      <c r="CH19" s="43"/>
      <c r="CI19" s="44"/>
      <c r="CJ19" s="40"/>
      <c r="CK19" s="41"/>
      <c r="CL19" s="42"/>
      <c r="CM19" s="42"/>
      <c r="CN19" s="42"/>
      <c r="CO19" s="42"/>
      <c r="CP19" s="42"/>
      <c r="CQ19" s="42"/>
      <c r="CR19" s="42"/>
      <c r="CS19" s="42"/>
      <c r="CT19" s="43"/>
      <c r="CU19" s="43"/>
      <c r="CV19" s="44"/>
      <c r="CW19" s="40"/>
      <c r="CX19" s="41"/>
      <c r="CY19" s="42"/>
      <c r="CZ19" s="42"/>
      <c r="DA19" s="42"/>
      <c r="DB19" s="42"/>
      <c r="DC19" s="42"/>
      <c r="DD19" s="42"/>
      <c r="DE19" s="42"/>
      <c r="DF19" s="42"/>
      <c r="DG19" s="43"/>
      <c r="DH19" s="43"/>
      <c r="DI19" s="44"/>
      <c r="DJ19" s="40"/>
      <c r="DK19" s="41"/>
      <c r="DL19" s="42"/>
      <c r="DM19" s="42"/>
      <c r="DN19" s="42"/>
      <c r="DO19" s="42"/>
      <c r="DP19" s="42"/>
      <c r="DQ19" s="42"/>
      <c r="DR19" s="42"/>
      <c r="DS19" s="42"/>
      <c r="DT19" s="43"/>
      <c r="DU19" s="43"/>
      <c r="DV19" s="44"/>
      <c r="DW19" s="40"/>
      <c r="DX19" s="41"/>
      <c r="DY19" s="42"/>
      <c r="DZ19" s="42"/>
      <c r="EA19" s="42"/>
      <c r="EB19" s="42"/>
      <c r="EC19" s="42"/>
      <c r="ED19" s="42"/>
      <c r="EE19" s="42"/>
      <c r="EF19" s="42"/>
      <c r="EG19" s="43"/>
      <c r="EH19" s="43"/>
      <c r="EI19" s="44"/>
      <c r="EJ19" s="40"/>
      <c r="EK19" s="41"/>
      <c r="EL19" s="42"/>
      <c r="EM19" s="42"/>
      <c r="EN19" s="42"/>
      <c r="EO19" s="42"/>
      <c r="EP19" s="42"/>
      <c r="EQ19" s="42"/>
      <c r="ER19" s="42"/>
      <c r="ES19" s="42"/>
      <c r="ET19" s="43"/>
      <c r="EU19" s="43"/>
      <c r="EV19" s="44"/>
      <c r="EW19" s="40"/>
      <c r="EX19" s="41"/>
      <c r="EY19" s="42"/>
      <c r="EZ19" s="42"/>
      <c r="FA19" s="42"/>
      <c r="FB19" s="42"/>
      <c r="FC19" s="42"/>
      <c r="FD19" s="42"/>
      <c r="FE19" s="42"/>
      <c r="FF19" s="42"/>
      <c r="FG19" s="43"/>
      <c r="FH19" s="43"/>
      <c r="FI19" s="44"/>
      <c r="FJ19" s="40"/>
      <c r="FK19" s="41"/>
      <c r="FL19" s="42"/>
      <c r="FM19" s="42"/>
      <c r="FN19" s="42"/>
      <c r="FO19" s="42"/>
      <c r="FP19" s="42"/>
      <c r="FQ19" s="42"/>
      <c r="FR19" s="42"/>
      <c r="FS19" s="42"/>
      <c r="FT19" s="43"/>
      <c r="FU19" s="43"/>
      <c r="FV19" s="44"/>
      <c r="FW19" s="40"/>
      <c r="FX19" s="41"/>
      <c r="FY19" s="42"/>
      <c r="FZ19" s="42"/>
      <c r="GA19" s="42"/>
      <c r="GB19" s="42"/>
      <c r="GC19" s="42"/>
      <c r="GD19" s="42"/>
      <c r="GE19" s="42"/>
      <c r="GF19" s="42"/>
      <c r="GG19" s="43"/>
      <c r="GH19" s="43"/>
      <c r="GI19" s="44"/>
    </row>
    <row r="20" spans="1:191" s="26" customFormat="1" x14ac:dyDescent="0.3">
      <c r="A20" s="1"/>
      <c r="B20" s="23"/>
      <c r="C20" s="24" t="s">
        <v>31</v>
      </c>
      <c r="D20" s="24"/>
      <c r="E20" s="24"/>
      <c r="F20" s="24"/>
      <c r="G20" s="24"/>
      <c r="H20" s="24"/>
      <c r="I20" s="25"/>
      <c r="J20" s="40"/>
      <c r="K20" s="41"/>
      <c r="L20" s="42"/>
      <c r="M20" s="42"/>
      <c r="N20" s="42"/>
      <c r="O20" s="42"/>
      <c r="P20" s="42"/>
      <c r="Q20" s="42"/>
      <c r="R20" s="42"/>
      <c r="S20" s="42"/>
      <c r="T20" s="43"/>
      <c r="U20" s="43"/>
      <c r="V20" s="44"/>
      <c r="W20" s="40"/>
      <c r="X20" s="41"/>
      <c r="Y20" s="42"/>
      <c r="Z20" s="42"/>
      <c r="AA20" s="42"/>
      <c r="AB20" s="42"/>
      <c r="AC20" s="42"/>
      <c r="AD20" s="42"/>
      <c r="AE20" s="42"/>
      <c r="AF20" s="42"/>
      <c r="AG20" s="43"/>
      <c r="AH20" s="43"/>
      <c r="AI20" s="44"/>
      <c r="AJ20" s="40"/>
      <c r="AK20" s="41"/>
      <c r="AL20" s="42"/>
      <c r="AM20" s="42"/>
      <c r="AN20" s="42"/>
      <c r="AO20" s="42"/>
      <c r="AP20" s="42"/>
      <c r="AQ20" s="42"/>
      <c r="AR20" s="42"/>
      <c r="AS20" s="42"/>
      <c r="AT20" s="43"/>
      <c r="AU20" s="43"/>
      <c r="AV20" s="44"/>
      <c r="AW20" s="40"/>
      <c r="AX20" s="41"/>
      <c r="AY20" s="42"/>
      <c r="AZ20" s="42"/>
      <c r="BA20" s="42"/>
      <c r="BB20" s="42"/>
      <c r="BC20" s="42"/>
      <c r="BD20" s="42"/>
      <c r="BE20" s="42"/>
      <c r="BF20" s="42"/>
      <c r="BG20" s="43"/>
      <c r="BH20" s="43"/>
      <c r="BI20" s="44"/>
      <c r="BJ20" s="40"/>
      <c r="BK20" s="41"/>
      <c r="BL20" s="42"/>
      <c r="BM20" s="42"/>
      <c r="BN20" s="42"/>
      <c r="BO20" s="42"/>
      <c r="BP20" s="42"/>
      <c r="BQ20" s="42"/>
      <c r="BR20" s="42"/>
      <c r="BS20" s="42"/>
      <c r="BT20" s="43"/>
      <c r="BU20" s="43"/>
      <c r="BV20" s="44"/>
      <c r="BW20" s="40"/>
      <c r="BX20" s="41"/>
      <c r="BY20" s="42"/>
      <c r="BZ20" s="42"/>
      <c r="CA20" s="42"/>
      <c r="CB20" s="42"/>
      <c r="CC20" s="42"/>
      <c r="CD20" s="42"/>
      <c r="CE20" s="42"/>
      <c r="CF20" s="42"/>
      <c r="CG20" s="43"/>
      <c r="CH20" s="43"/>
      <c r="CI20" s="44"/>
      <c r="CJ20" s="40"/>
      <c r="CK20" s="41"/>
      <c r="CL20" s="42"/>
      <c r="CM20" s="42"/>
      <c r="CN20" s="42"/>
      <c r="CO20" s="42"/>
      <c r="CP20" s="42"/>
      <c r="CQ20" s="42"/>
      <c r="CR20" s="42"/>
      <c r="CS20" s="42"/>
      <c r="CT20" s="43"/>
      <c r="CU20" s="43"/>
      <c r="CV20" s="44"/>
      <c r="CW20" s="40"/>
      <c r="CX20" s="41"/>
      <c r="CY20" s="42"/>
      <c r="CZ20" s="42"/>
      <c r="DA20" s="42"/>
      <c r="DB20" s="42"/>
      <c r="DC20" s="42"/>
      <c r="DD20" s="42"/>
      <c r="DE20" s="42"/>
      <c r="DF20" s="42"/>
      <c r="DG20" s="43"/>
      <c r="DH20" s="43"/>
      <c r="DI20" s="44"/>
      <c r="DJ20" s="40"/>
      <c r="DK20" s="41"/>
      <c r="DL20" s="42"/>
      <c r="DM20" s="42"/>
      <c r="DN20" s="42"/>
      <c r="DO20" s="42"/>
      <c r="DP20" s="42"/>
      <c r="DQ20" s="42"/>
      <c r="DR20" s="42"/>
      <c r="DS20" s="42"/>
      <c r="DT20" s="43"/>
      <c r="DU20" s="43"/>
      <c r="DV20" s="44"/>
      <c r="DW20" s="40"/>
      <c r="DX20" s="41"/>
      <c r="DY20" s="42"/>
      <c r="DZ20" s="42"/>
      <c r="EA20" s="42"/>
      <c r="EB20" s="42"/>
      <c r="EC20" s="42"/>
      <c r="ED20" s="42"/>
      <c r="EE20" s="42"/>
      <c r="EF20" s="42"/>
      <c r="EG20" s="43"/>
      <c r="EH20" s="43"/>
      <c r="EI20" s="44"/>
      <c r="EJ20" s="40"/>
      <c r="EK20" s="41"/>
      <c r="EL20" s="42"/>
      <c r="EM20" s="42"/>
      <c r="EN20" s="42"/>
      <c r="EO20" s="42"/>
      <c r="EP20" s="42"/>
      <c r="EQ20" s="42"/>
      <c r="ER20" s="42"/>
      <c r="ES20" s="42"/>
      <c r="ET20" s="43"/>
      <c r="EU20" s="43"/>
      <c r="EV20" s="44"/>
      <c r="EW20" s="40"/>
      <c r="EX20" s="41"/>
      <c r="EY20" s="42"/>
      <c r="EZ20" s="42"/>
      <c r="FA20" s="42"/>
      <c r="FB20" s="42"/>
      <c r="FC20" s="42"/>
      <c r="FD20" s="42"/>
      <c r="FE20" s="42"/>
      <c r="FF20" s="42"/>
      <c r="FG20" s="43"/>
      <c r="FH20" s="43"/>
      <c r="FI20" s="44"/>
      <c r="FJ20" s="40"/>
      <c r="FK20" s="41"/>
      <c r="FL20" s="42"/>
      <c r="FM20" s="42"/>
      <c r="FN20" s="42"/>
      <c r="FO20" s="42"/>
      <c r="FP20" s="42"/>
      <c r="FQ20" s="42"/>
      <c r="FR20" s="42"/>
      <c r="FS20" s="42"/>
      <c r="FT20" s="43"/>
      <c r="FU20" s="43"/>
      <c r="FV20" s="44"/>
      <c r="FW20" s="40"/>
      <c r="FX20" s="41"/>
      <c r="FY20" s="42"/>
      <c r="FZ20" s="42"/>
      <c r="GA20" s="42"/>
      <c r="GB20" s="42"/>
      <c r="GC20" s="42"/>
      <c r="GD20" s="42"/>
      <c r="GE20" s="42"/>
      <c r="GF20" s="42"/>
      <c r="GG20" s="43"/>
      <c r="GH20" s="43"/>
      <c r="GI20" s="44"/>
    </row>
    <row r="21" spans="1:191" s="26" customFormat="1" ht="90" x14ac:dyDescent="0.3">
      <c r="A21" s="1"/>
      <c r="B21" s="23"/>
      <c r="C21" s="16" t="s">
        <v>64</v>
      </c>
      <c r="D21" s="24"/>
      <c r="E21" s="24"/>
      <c r="F21" s="24"/>
      <c r="G21" s="24"/>
      <c r="H21" s="24"/>
      <c r="I21" s="25"/>
      <c r="J21" s="40"/>
      <c r="K21" s="41"/>
      <c r="L21" s="42"/>
      <c r="M21" s="42"/>
      <c r="N21" s="42"/>
      <c r="O21" s="42"/>
      <c r="P21" s="42"/>
      <c r="Q21" s="42"/>
      <c r="R21" s="42"/>
      <c r="S21" s="42"/>
      <c r="T21" s="43"/>
      <c r="U21" s="43"/>
      <c r="V21" s="44"/>
      <c r="W21" s="40"/>
      <c r="X21" s="41"/>
      <c r="Y21" s="42"/>
      <c r="Z21" s="42"/>
      <c r="AA21" s="42"/>
      <c r="AB21" s="42"/>
      <c r="AC21" s="42"/>
      <c r="AD21" s="42"/>
      <c r="AE21" s="42"/>
      <c r="AF21" s="42"/>
      <c r="AG21" s="43"/>
      <c r="AH21" s="43"/>
      <c r="AI21" s="44"/>
      <c r="AJ21" s="40"/>
      <c r="AK21" s="41"/>
      <c r="AL21" s="42"/>
      <c r="AM21" s="42"/>
      <c r="AN21" s="42"/>
      <c r="AO21" s="42"/>
      <c r="AP21" s="42"/>
      <c r="AQ21" s="42"/>
      <c r="AR21" s="42"/>
      <c r="AS21" s="42"/>
      <c r="AT21" s="43"/>
      <c r="AU21" s="43"/>
      <c r="AV21" s="44"/>
      <c r="AW21" s="40"/>
      <c r="AX21" s="41"/>
      <c r="AY21" s="42"/>
      <c r="AZ21" s="42"/>
      <c r="BA21" s="42"/>
      <c r="BB21" s="42"/>
      <c r="BC21" s="42"/>
      <c r="BD21" s="42"/>
      <c r="BE21" s="42"/>
      <c r="BF21" s="42"/>
      <c r="BG21" s="43"/>
      <c r="BH21" s="43"/>
      <c r="BI21" s="44"/>
      <c r="BJ21" s="40"/>
      <c r="BK21" s="41"/>
      <c r="BL21" s="42"/>
      <c r="BM21" s="42"/>
      <c r="BN21" s="42"/>
      <c r="BO21" s="42"/>
      <c r="BP21" s="42"/>
      <c r="BQ21" s="42"/>
      <c r="BR21" s="42"/>
      <c r="BS21" s="42"/>
      <c r="BT21" s="43"/>
      <c r="BU21" s="43"/>
      <c r="BV21" s="44"/>
      <c r="BW21" s="40"/>
      <c r="BX21" s="41"/>
      <c r="BY21" s="42"/>
      <c r="BZ21" s="42"/>
      <c r="CA21" s="42"/>
      <c r="CB21" s="42"/>
      <c r="CC21" s="42"/>
      <c r="CD21" s="42"/>
      <c r="CE21" s="42"/>
      <c r="CF21" s="42"/>
      <c r="CG21" s="43"/>
      <c r="CH21" s="43"/>
      <c r="CI21" s="44"/>
      <c r="CJ21" s="40"/>
      <c r="CK21" s="41"/>
      <c r="CL21" s="42"/>
      <c r="CM21" s="42"/>
      <c r="CN21" s="42"/>
      <c r="CO21" s="42"/>
      <c r="CP21" s="42"/>
      <c r="CQ21" s="42"/>
      <c r="CR21" s="42"/>
      <c r="CS21" s="42"/>
      <c r="CT21" s="43"/>
      <c r="CU21" s="43"/>
      <c r="CV21" s="44"/>
      <c r="CW21" s="40"/>
      <c r="CX21" s="41"/>
      <c r="CY21" s="42"/>
      <c r="CZ21" s="42"/>
      <c r="DA21" s="42"/>
      <c r="DB21" s="42"/>
      <c r="DC21" s="42"/>
      <c r="DD21" s="42"/>
      <c r="DE21" s="42"/>
      <c r="DF21" s="42"/>
      <c r="DG21" s="43"/>
      <c r="DH21" s="43"/>
      <c r="DI21" s="44"/>
      <c r="DJ21" s="40"/>
      <c r="DK21" s="41"/>
      <c r="DL21" s="42"/>
      <c r="DM21" s="42"/>
      <c r="DN21" s="42"/>
      <c r="DO21" s="42"/>
      <c r="DP21" s="42"/>
      <c r="DQ21" s="42"/>
      <c r="DR21" s="42"/>
      <c r="DS21" s="42"/>
      <c r="DT21" s="43"/>
      <c r="DU21" s="43"/>
      <c r="DV21" s="44"/>
      <c r="DW21" s="40"/>
      <c r="DX21" s="41"/>
      <c r="DY21" s="42"/>
      <c r="DZ21" s="42"/>
      <c r="EA21" s="42"/>
      <c r="EB21" s="42"/>
      <c r="EC21" s="42"/>
      <c r="ED21" s="42"/>
      <c r="EE21" s="42"/>
      <c r="EF21" s="42"/>
      <c r="EG21" s="43"/>
      <c r="EH21" s="43"/>
      <c r="EI21" s="44"/>
      <c r="EJ21" s="40"/>
      <c r="EK21" s="41"/>
      <c r="EL21" s="42"/>
      <c r="EM21" s="42"/>
      <c r="EN21" s="42"/>
      <c r="EO21" s="42"/>
      <c r="EP21" s="42"/>
      <c r="EQ21" s="42"/>
      <c r="ER21" s="42"/>
      <c r="ES21" s="42"/>
      <c r="ET21" s="43"/>
      <c r="EU21" s="43"/>
      <c r="EV21" s="44"/>
      <c r="EW21" s="40"/>
      <c r="EX21" s="41"/>
      <c r="EY21" s="42"/>
      <c r="EZ21" s="42"/>
      <c r="FA21" s="42"/>
      <c r="FB21" s="42"/>
      <c r="FC21" s="42"/>
      <c r="FD21" s="42"/>
      <c r="FE21" s="42"/>
      <c r="FF21" s="42"/>
      <c r="FG21" s="43"/>
      <c r="FH21" s="43"/>
      <c r="FI21" s="44"/>
      <c r="FJ21" s="40"/>
      <c r="FK21" s="41"/>
      <c r="FL21" s="42"/>
      <c r="FM21" s="42"/>
      <c r="FN21" s="42"/>
      <c r="FO21" s="42"/>
      <c r="FP21" s="42"/>
      <c r="FQ21" s="42"/>
      <c r="FR21" s="42"/>
      <c r="FS21" s="42"/>
      <c r="FT21" s="43"/>
      <c r="FU21" s="43"/>
      <c r="FV21" s="44"/>
      <c r="FW21" s="40"/>
      <c r="FX21" s="41"/>
      <c r="FY21" s="42"/>
      <c r="FZ21" s="42"/>
      <c r="GA21" s="42"/>
      <c r="GB21" s="42"/>
      <c r="GC21" s="42"/>
      <c r="GD21" s="42"/>
      <c r="GE21" s="42"/>
      <c r="GF21" s="42"/>
      <c r="GG21" s="43"/>
      <c r="GH21" s="43"/>
      <c r="GI21" s="44"/>
    </row>
    <row r="22" spans="1:191" s="2" customFormat="1" ht="40.200000000000003" customHeight="1" x14ac:dyDescent="0.3">
      <c r="A22" s="1"/>
      <c r="B22" s="73" t="s">
        <v>29</v>
      </c>
      <c r="C22" s="74"/>
      <c r="D22" s="71" t="s">
        <v>28</v>
      </c>
      <c r="E22" s="71"/>
      <c r="F22" s="71"/>
      <c r="G22" s="71"/>
      <c r="H22" s="71"/>
      <c r="I22" s="72"/>
      <c r="J22" s="58"/>
      <c r="K22" s="59"/>
      <c r="L22" s="60"/>
      <c r="M22" s="60"/>
      <c r="N22" s="60"/>
      <c r="O22" s="60"/>
      <c r="P22" s="60"/>
      <c r="Q22" s="60"/>
      <c r="R22" s="60"/>
      <c r="S22" s="61"/>
      <c r="T22" s="61"/>
      <c r="U22" s="61"/>
      <c r="V22" s="62"/>
      <c r="W22" s="58"/>
      <c r="X22" s="59"/>
      <c r="Y22" s="60"/>
      <c r="Z22" s="60"/>
      <c r="AA22" s="60"/>
      <c r="AB22" s="60"/>
      <c r="AC22" s="60"/>
      <c r="AD22" s="60"/>
      <c r="AE22" s="60"/>
      <c r="AF22" s="61"/>
      <c r="AG22" s="61"/>
      <c r="AH22" s="61"/>
      <c r="AI22" s="62"/>
      <c r="AJ22" s="58"/>
      <c r="AK22" s="59"/>
      <c r="AL22" s="60"/>
      <c r="AM22" s="60"/>
      <c r="AN22" s="60"/>
      <c r="AO22" s="60"/>
      <c r="AP22" s="60"/>
      <c r="AQ22" s="60"/>
      <c r="AR22" s="60"/>
      <c r="AS22" s="61"/>
      <c r="AT22" s="61"/>
      <c r="AU22" s="61"/>
      <c r="AV22" s="62"/>
      <c r="AW22" s="58"/>
      <c r="AX22" s="59"/>
      <c r="AY22" s="60"/>
      <c r="AZ22" s="60"/>
      <c r="BA22" s="60"/>
      <c r="BB22" s="60"/>
      <c r="BC22" s="60"/>
      <c r="BD22" s="60"/>
      <c r="BE22" s="60"/>
      <c r="BF22" s="61"/>
      <c r="BG22" s="61"/>
      <c r="BH22" s="61"/>
      <c r="BI22" s="62"/>
      <c r="BJ22" s="58"/>
      <c r="BK22" s="59"/>
      <c r="BL22" s="60"/>
      <c r="BM22" s="60"/>
      <c r="BN22" s="60"/>
      <c r="BO22" s="60"/>
      <c r="BP22" s="60"/>
      <c r="BQ22" s="60"/>
      <c r="BR22" s="60"/>
      <c r="BS22" s="61"/>
      <c r="BT22" s="61"/>
      <c r="BU22" s="61"/>
      <c r="BV22" s="62"/>
      <c r="BW22" s="58"/>
      <c r="BX22" s="59"/>
      <c r="BY22" s="60"/>
      <c r="BZ22" s="60"/>
      <c r="CA22" s="60"/>
      <c r="CB22" s="60"/>
      <c r="CC22" s="60"/>
      <c r="CD22" s="60"/>
      <c r="CE22" s="60"/>
      <c r="CF22" s="61"/>
      <c r="CG22" s="61"/>
      <c r="CH22" s="61"/>
      <c r="CI22" s="62"/>
      <c r="CJ22" s="58"/>
      <c r="CK22" s="59"/>
      <c r="CL22" s="60"/>
      <c r="CM22" s="60"/>
      <c r="CN22" s="60"/>
      <c r="CO22" s="60"/>
      <c r="CP22" s="60"/>
      <c r="CQ22" s="60"/>
      <c r="CR22" s="60"/>
      <c r="CS22" s="61"/>
      <c r="CT22" s="61"/>
      <c r="CU22" s="61"/>
      <c r="CV22" s="62"/>
      <c r="CW22" s="58"/>
      <c r="CX22" s="59"/>
      <c r="CY22" s="60"/>
      <c r="CZ22" s="60"/>
      <c r="DA22" s="60"/>
      <c r="DB22" s="60"/>
      <c r="DC22" s="60"/>
      <c r="DD22" s="60"/>
      <c r="DE22" s="60"/>
      <c r="DF22" s="61"/>
      <c r="DG22" s="61"/>
      <c r="DH22" s="61"/>
      <c r="DI22" s="62"/>
      <c r="DJ22" s="58"/>
      <c r="DK22" s="59"/>
      <c r="DL22" s="60"/>
      <c r="DM22" s="60"/>
      <c r="DN22" s="60"/>
      <c r="DO22" s="60"/>
      <c r="DP22" s="60"/>
      <c r="DQ22" s="60"/>
      <c r="DR22" s="60"/>
      <c r="DS22" s="61"/>
      <c r="DT22" s="61"/>
      <c r="DU22" s="61"/>
      <c r="DV22" s="62"/>
      <c r="DW22" s="58"/>
      <c r="DX22" s="59"/>
      <c r="DY22" s="60"/>
      <c r="DZ22" s="60"/>
      <c r="EA22" s="60"/>
      <c r="EB22" s="60"/>
      <c r="EC22" s="60"/>
      <c r="ED22" s="60"/>
      <c r="EE22" s="60"/>
      <c r="EF22" s="61"/>
      <c r="EG22" s="61"/>
      <c r="EH22" s="61"/>
      <c r="EI22" s="62"/>
      <c r="EJ22" s="58"/>
      <c r="EK22" s="59"/>
      <c r="EL22" s="60"/>
      <c r="EM22" s="60"/>
      <c r="EN22" s="60"/>
      <c r="EO22" s="60"/>
      <c r="EP22" s="60"/>
      <c r="EQ22" s="60"/>
      <c r="ER22" s="60"/>
      <c r="ES22" s="61"/>
      <c r="ET22" s="61"/>
      <c r="EU22" s="61"/>
      <c r="EV22" s="62"/>
      <c r="EW22" s="58"/>
      <c r="EX22" s="59"/>
      <c r="EY22" s="60"/>
      <c r="EZ22" s="60"/>
      <c r="FA22" s="60"/>
      <c r="FB22" s="60"/>
      <c r="FC22" s="60"/>
      <c r="FD22" s="60"/>
      <c r="FE22" s="60"/>
      <c r="FF22" s="61"/>
      <c r="FG22" s="61"/>
      <c r="FH22" s="61"/>
      <c r="FI22" s="62"/>
      <c r="FJ22" s="58"/>
      <c r="FK22" s="59"/>
      <c r="FL22" s="60"/>
      <c r="FM22" s="60"/>
      <c r="FN22" s="60"/>
      <c r="FO22" s="60"/>
      <c r="FP22" s="60"/>
      <c r="FQ22" s="60"/>
      <c r="FR22" s="60"/>
      <c r="FS22" s="61"/>
      <c r="FT22" s="61"/>
      <c r="FU22" s="61"/>
      <c r="FV22" s="62"/>
      <c r="FW22" s="58"/>
      <c r="FX22" s="59"/>
      <c r="FY22" s="60"/>
      <c r="FZ22" s="60"/>
      <c r="GA22" s="60"/>
      <c r="GB22" s="60"/>
      <c r="GC22" s="60"/>
      <c r="GD22" s="60"/>
      <c r="GE22" s="60"/>
      <c r="GF22" s="61"/>
      <c r="GG22" s="61"/>
      <c r="GH22" s="61"/>
      <c r="GI22" s="62"/>
    </row>
    <row r="23" spans="1:191" s="2" customFormat="1" ht="15.45" customHeight="1" x14ac:dyDescent="0.3">
      <c r="A23" s="1"/>
      <c r="B23" s="75" t="s">
        <v>21</v>
      </c>
      <c r="C23" s="75"/>
      <c r="D23" s="75"/>
      <c r="E23" s="75"/>
      <c r="F23" s="75"/>
      <c r="G23" s="75"/>
      <c r="H23" s="75"/>
      <c r="I23" s="75"/>
      <c r="J23" s="63">
        <v>0</v>
      </c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>
        <v>0</v>
      </c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>
        <v>0</v>
      </c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>
        <v>0</v>
      </c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>
        <v>0</v>
      </c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>
        <v>0</v>
      </c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  <c r="CI23" s="63"/>
      <c r="CJ23" s="63">
        <v>0</v>
      </c>
      <c r="CK23" s="63"/>
      <c r="CL23" s="63"/>
      <c r="CM23" s="63"/>
      <c r="CN23" s="63"/>
      <c r="CO23" s="63"/>
      <c r="CP23" s="63"/>
      <c r="CQ23" s="63"/>
      <c r="CR23" s="63"/>
      <c r="CS23" s="63"/>
      <c r="CT23" s="63"/>
      <c r="CU23" s="63"/>
      <c r="CV23" s="63"/>
      <c r="CW23" s="63">
        <v>0</v>
      </c>
      <c r="CX23" s="63"/>
      <c r="CY23" s="63"/>
      <c r="CZ23" s="63"/>
      <c r="DA23" s="63"/>
      <c r="DB23" s="63"/>
      <c r="DC23" s="63"/>
      <c r="DD23" s="63"/>
      <c r="DE23" s="63"/>
      <c r="DF23" s="63"/>
      <c r="DG23" s="63"/>
      <c r="DH23" s="63"/>
      <c r="DI23" s="63"/>
      <c r="DJ23" s="63">
        <v>0</v>
      </c>
      <c r="DK23" s="63"/>
      <c r="DL23" s="63"/>
      <c r="DM23" s="63"/>
      <c r="DN23" s="63"/>
      <c r="DO23" s="63"/>
      <c r="DP23" s="63"/>
      <c r="DQ23" s="63"/>
      <c r="DR23" s="63"/>
      <c r="DS23" s="63"/>
      <c r="DT23" s="63"/>
      <c r="DU23" s="63"/>
      <c r="DV23" s="63"/>
      <c r="DW23" s="63">
        <v>0</v>
      </c>
      <c r="DX23" s="63"/>
      <c r="DY23" s="63"/>
      <c r="DZ23" s="63"/>
      <c r="EA23" s="63"/>
      <c r="EB23" s="63"/>
      <c r="EC23" s="63"/>
      <c r="ED23" s="63"/>
      <c r="EE23" s="63"/>
      <c r="EF23" s="63"/>
      <c r="EG23" s="63"/>
      <c r="EH23" s="63"/>
      <c r="EI23" s="63"/>
      <c r="EJ23" s="63">
        <v>0</v>
      </c>
      <c r="EK23" s="63"/>
      <c r="EL23" s="63"/>
      <c r="EM23" s="63"/>
      <c r="EN23" s="63"/>
      <c r="EO23" s="63"/>
      <c r="EP23" s="63"/>
      <c r="EQ23" s="63"/>
      <c r="ER23" s="63"/>
      <c r="ES23" s="63"/>
      <c r="ET23" s="63"/>
      <c r="EU23" s="63"/>
      <c r="EV23" s="63"/>
      <c r="EW23" s="63">
        <v>0</v>
      </c>
      <c r="EX23" s="63"/>
      <c r="EY23" s="63"/>
      <c r="EZ23" s="63"/>
      <c r="FA23" s="63"/>
      <c r="FB23" s="63"/>
      <c r="FC23" s="63"/>
      <c r="FD23" s="63"/>
      <c r="FE23" s="63"/>
      <c r="FF23" s="63"/>
      <c r="FG23" s="63"/>
      <c r="FH23" s="63"/>
      <c r="FI23" s="63"/>
      <c r="FJ23" s="63">
        <v>0</v>
      </c>
      <c r="FK23" s="63"/>
      <c r="FL23" s="63"/>
      <c r="FM23" s="63"/>
      <c r="FN23" s="63"/>
      <c r="FO23" s="63"/>
      <c r="FP23" s="63"/>
      <c r="FQ23" s="63"/>
      <c r="FR23" s="63"/>
      <c r="FS23" s="63"/>
      <c r="FT23" s="63"/>
      <c r="FU23" s="63"/>
      <c r="FV23" s="63"/>
      <c r="FW23" s="63">
        <v>0</v>
      </c>
      <c r="FX23" s="63"/>
      <c r="FY23" s="63"/>
      <c r="FZ23" s="63"/>
      <c r="GA23" s="63"/>
      <c r="GB23" s="63"/>
      <c r="GC23" s="63"/>
      <c r="GD23" s="63"/>
      <c r="GE23" s="63"/>
      <c r="GF23" s="63"/>
      <c r="GG23" s="63"/>
      <c r="GH23" s="63"/>
      <c r="GI23" s="63"/>
    </row>
    <row r="24" spans="1:191" s="6" customForma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</row>
    <row r="25" spans="1:191" s="6" customFormat="1" x14ac:dyDescent="0.3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</row>
    <row r="26" spans="1:191" s="6" customFormat="1" x14ac:dyDescent="0.3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</row>
    <row r="27" spans="1:191" s="6" customFormat="1" x14ac:dyDescent="0.3"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</row>
    <row r="28" spans="1:191" s="6" customFormat="1" x14ac:dyDescent="0.3"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</row>
    <row r="29" spans="1:191" s="6" customFormat="1" x14ac:dyDescent="0.3"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</row>
    <row r="30" spans="1:191" s="6" customFormat="1" x14ac:dyDescent="0.3"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</row>
    <row r="31" spans="1:191" s="6" customFormat="1" x14ac:dyDescent="0.3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</row>
    <row r="32" spans="1:191" s="6" customFormat="1" x14ac:dyDescent="0.3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</row>
    <row r="33" spans="2:191" s="6" customFormat="1" x14ac:dyDescent="0.3"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</row>
    <row r="34" spans="2:191" s="6" customFormat="1" x14ac:dyDescent="0.3"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</row>
    <row r="35" spans="2:191" s="6" customFormat="1" x14ac:dyDescent="0.3"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</row>
    <row r="36" spans="2:191" s="6" customFormat="1" x14ac:dyDescent="0.3"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</row>
    <row r="37" spans="2:191" s="6" customFormat="1" x14ac:dyDescent="0.3"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</row>
    <row r="38" spans="2:191" s="6" customFormat="1" x14ac:dyDescent="0.3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</row>
    <row r="39" spans="2:191" s="6" customFormat="1" x14ac:dyDescent="0.3"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</row>
    <row r="40" spans="2:191" s="6" customFormat="1" x14ac:dyDescent="0.3"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</row>
    <row r="41" spans="2:191" s="6" customFormat="1" x14ac:dyDescent="0.3"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</row>
    <row r="42" spans="2:191" s="6" customFormat="1" x14ac:dyDescent="0.3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</row>
    <row r="43" spans="2:191" s="6" customFormat="1" x14ac:dyDescent="0.3"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</row>
    <row r="44" spans="2:191" s="6" customFormat="1" x14ac:dyDescent="0.3"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</row>
    <row r="45" spans="2:191" s="6" customFormat="1" x14ac:dyDescent="0.3"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</row>
    <row r="46" spans="2:191" s="6" customFormat="1" x14ac:dyDescent="0.3">
      <c r="B46" s="4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</row>
  </sheetData>
  <mergeCells count="48">
    <mergeCell ref="BJ23:BV23"/>
    <mergeCell ref="BW23:CI23"/>
    <mergeCell ref="CJ23:CV23"/>
    <mergeCell ref="FJ23:FV23"/>
    <mergeCell ref="CW23:DI23"/>
    <mergeCell ref="DJ23:DV23"/>
    <mergeCell ref="DW23:EI23"/>
    <mergeCell ref="EJ23:EV23"/>
    <mergeCell ref="EW23:FI23"/>
    <mergeCell ref="B2:B3"/>
    <mergeCell ref="C2:C3"/>
    <mergeCell ref="AJ23:AV23"/>
    <mergeCell ref="AW23:BI23"/>
    <mergeCell ref="J2:V2"/>
    <mergeCell ref="J22:V22"/>
    <mergeCell ref="J23:V23"/>
    <mergeCell ref="W23:AI23"/>
    <mergeCell ref="D2:I2"/>
    <mergeCell ref="D22:I22"/>
    <mergeCell ref="B22:C22"/>
    <mergeCell ref="B23:I23"/>
    <mergeCell ref="CW2:DI2"/>
    <mergeCell ref="BJ2:BV2"/>
    <mergeCell ref="W2:AI2"/>
    <mergeCell ref="CW22:DI22"/>
    <mergeCell ref="CJ2:CV2"/>
    <mergeCell ref="CJ22:CV22"/>
    <mergeCell ref="BW2:CI2"/>
    <mergeCell ref="BW22:CI22"/>
    <mergeCell ref="BJ22:BV22"/>
    <mergeCell ref="AW2:BI2"/>
    <mergeCell ref="AW22:BI22"/>
    <mergeCell ref="AJ2:AV2"/>
    <mergeCell ref="AJ22:AV22"/>
    <mergeCell ref="W22:AI22"/>
    <mergeCell ref="FW2:GI2"/>
    <mergeCell ref="FW22:GI22"/>
    <mergeCell ref="FW23:GI23"/>
    <mergeCell ref="DJ22:DV22"/>
    <mergeCell ref="DJ2:DV2"/>
    <mergeCell ref="DW22:EI22"/>
    <mergeCell ref="EJ22:EV22"/>
    <mergeCell ref="EW22:FI22"/>
    <mergeCell ref="EW2:FI2"/>
    <mergeCell ref="FJ2:FV2"/>
    <mergeCell ref="FJ22:FV22"/>
    <mergeCell ref="EJ2:EV2"/>
    <mergeCell ref="DW2:EI2"/>
  </mergeCells>
  <pageMargins left="0.25" right="0.25" top="0.75" bottom="0.75" header="0.3" footer="0.3"/>
  <pageSetup scale="62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Calificacion!Print_Area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2024-08-24T15:36:02Z</cp:lastPrinted>
  <dcterms:created xsi:type="dcterms:W3CDTF">2018-11-28T14:19:17Z</dcterms:created>
  <dcterms:modified xsi:type="dcterms:W3CDTF">2025-08-21T16:22:52Z</dcterms:modified>
</cp:coreProperties>
</file>