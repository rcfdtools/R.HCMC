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2\"/>
    </mc:Choice>
  </mc:AlternateContent>
  <xr:revisionPtr revIDLastSave="0" documentId="13_ncr:1_{A117F6BB-0D61-4FF1-8B25-B5640C300FFE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0">Calificacion!$B$2:$F$19</definedName>
    <definedName name="_xlnm.Print_Area" localSheetId="1">Detalle!$B$1:$U$23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2" l="1"/>
  <c r="B1" i="10"/>
  <c r="D17" i="12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D5" i="12"/>
  <c r="F5" i="12" s="1"/>
  <c r="I7" i="10"/>
  <c r="F6" i="10"/>
  <c r="F7" i="10"/>
  <c r="F9" i="10"/>
  <c r="F10" i="10"/>
  <c r="F5" i="10"/>
  <c r="F12" i="10"/>
  <c r="F13" i="10"/>
  <c r="F4" i="10"/>
  <c r="E6" i="10"/>
  <c r="E7" i="10"/>
  <c r="E9" i="10"/>
  <c r="E10" i="10"/>
  <c r="E5" i="10"/>
  <c r="E12" i="10"/>
  <c r="E13" i="10"/>
  <c r="E4" i="10"/>
  <c r="EX2" i="10"/>
  <c r="EL2" i="10"/>
  <c r="DZ2" i="10"/>
  <c r="DB2" i="10"/>
  <c r="CP2" i="10"/>
  <c r="CD2" i="10"/>
  <c r="BR2" i="10"/>
  <c r="BF2" i="10"/>
  <c r="AT2" i="10"/>
  <c r="AH2" i="10"/>
  <c r="V2" i="10"/>
  <c r="J2" i="10"/>
  <c r="I6" i="10"/>
  <c r="I8" i="10"/>
  <c r="I9" i="10"/>
  <c r="I10" i="10"/>
  <c r="I11" i="10"/>
  <c r="I5" i="10"/>
  <c r="I4" i="10"/>
  <c r="DN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D3" authorId="0" shapeId="0" xr:uid="{3202E4B7-8E9C-4DE3-A066-9E782982AF04}">
      <text>
        <r>
          <rPr>
            <sz val="9"/>
            <color indexed="81"/>
            <rFont val="Segoe UI Light"/>
            <family val="2"/>
          </rPr>
          <t>Valores de referencia para la cuenca completa hasta el punto de estudio o descarga.</t>
        </r>
      </text>
    </comment>
    <comment ref="G3" authorId="0" shapeId="0" xr:uid="{ABE34329-1CB2-4217-8698-C3888BFA2C2C}">
      <text>
        <r>
          <rPr>
            <sz val="9"/>
            <color indexed="81"/>
            <rFont val="Segoe UI Light"/>
            <family val="2"/>
          </rPr>
          <t>Valores de referencia para la cuenca completa hasta el punto de estudio o descarga.</t>
        </r>
      </text>
    </comment>
    <comment ref="H3" authorId="0" shapeId="0" xr:uid="{499DD635-C4C7-4A48-BC68-0C5E2B8C0B28}">
      <text>
        <r>
          <rPr>
            <sz val="9"/>
            <color indexed="81"/>
            <rFont val="Segoe UI Light"/>
            <family val="2"/>
          </rPr>
          <t>Valores de referencia para la cuenca completa hasta el punto de estudio o descarga.</t>
        </r>
      </text>
    </comment>
  </commentList>
</comments>
</file>

<file path=xl/sharedStrings.xml><?xml version="1.0" encoding="utf-8"?>
<sst xmlns="http://schemas.openxmlformats.org/spreadsheetml/2006/main" count="216" uniqueCount="66">
  <si>
    <t>J4660</t>
  </si>
  <si>
    <t>J4682</t>
  </si>
  <si>
    <t>W19610</t>
  </si>
  <si>
    <t>Punto</t>
  </si>
  <si>
    <t>Descripción</t>
  </si>
  <si>
    <t>Duración lluvia, H</t>
  </si>
  <si>
    <t>Fa, Factor atenuación</t>
  </si>
  <si>
    <t>Área, km²</t>
  </si>
  <si>
    <t>Q2.33, m³/s</t>
  </si>
  <si>
    <t>Q5, m³/s</t>
  </si>
  <si>
    <t>Q10, m³/s</t>
  </si>
  <si>
    <t>Q25, m³/s</t>
  </si>
  <si>
    <t>Q50, m³/s</t>
  </si>
  <si>
    <t>Q100, m³/s</t>
  </si>
  <si>
    <t>Inicio canal</t>
  </si>
  <si>
    <t>Entrega</t>
  </si>
  <si>
    <t>J4685</t>
  </si>
  <si>
    <t>SINK-1</t>
  </si>
  <si>
    <t>Nodo descarga cauce lateral 1</t>
  </si>
  <si>
    <t>Nodo descarga cauce lateral 2</t>
  </si>
  <si>
    <t>Qm, m³/s</t>
  </si>
  <si>
    <t>Calificación</t>
  </si>
  <si>
    <t>Código</t>
  </si>
  <si>
    <t>Cuenca lateral 2 Fa independiente (Área original HMS = 15.195 km²)</t>
  </si>
  <si>
    <t>Cuenca lateral 2 Fa combinado con J4682 (Área original HMS = 15.195 km²)</t>
  </si>
  <si>
    <t>Modelo HEC-HMS comprimido y cargado</t>
  </si>
  <si>
    <t>Valores de referencia</t>
  </si>
  <si>
    <t>Hietogramas en repositorio</t>
  </si>
  <si>
    <t>Observaciones &gt;&gt;</t>
  </si>
  <si>
    <t>Notas: Valores en rojo corresponden a elementos que deben completados, revisados, ajustados y/o recalculados.</t>
  </si>
  <si>
    <t>Capturas detalladas del procedimiento de estimación de los caudales medios por estadística zonal</t>
  </si>
  <si>
    <t>Registro de valores de diseño en libro de parámetros</t>
  </si>
  <si>
    <t>W19560</t>
  </si>
  <si>
    <t>W19520</t>
  </si>
  <si>
    <t>Cuenca huérfana con intervención minera que debe ser incorporada a uno de los nodos de entrada de cauces laterales. (opcional si al nodo J4682 se le descontó esta área)</t>
  </si>
  <si>
    <t>Fa 6hr</t>
  </si>
  <si>
    <t>Fa 9h</t>
  </si>
  <si>
    <t>Cuenca escorrentía directa (opcional si esta área se descuenta del nodo J4660 y si se considera que la escorrentía entra directa al cauce o a través de un nuevo punto - Se recomienda descarga en J4660)</t>
  </si>
  <si>
    <t>R19120 + W19690</t>
  </si>
  <si>
    <t>Cuenca lateral 1 Fa independiente (Área original HMS = 37.472 km²). Se deben leer y sumar los valores del tramo R19120 y la subcuenca W19690.</t>
  </si>
  <si>
    <t>Cuenca lateral 1 Fa combinado con J4660 (Área original HMS = 37.472 km²). Se deben leer y sumar los valores del tramo R19120 y la subcuenca W19690.</t>
  </si>
  <si>
    <t>Precip. media, mm</t>
  </si>
  <si>
    <t>Evap. media, mm</t>
  </si>
  <si>
    <t>Calificación final</t>
  </si>
  <si>
    <t>Calificación profesor</t>
  </si>
  <si>
    <t>Grupo 1</t>
  </si>
  <si>
    <t>Grupo 2</t>
  </si>
  <si>
    <t>Grupo 3</t>
  </si>
  <si>
    <t>Grupo 4</t>
  </si>
  <si>
    <t>Grupo 5</t>
  </si>
  <si>
    <t>Calificar sobre</t>
  </si>
  <si>
    <t>Autocalificación alumno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</si>
  <si>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</si>
  <si>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</si>
  <si>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</si>
  <si>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</si>
  <si>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</si>
  <si>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</si>
  <si>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</si>
  <si>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</si>
  <si>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M01A02</t>
  </si>
  <si>
    <t>Calificación 1.2. Modelación hidrológica para obtención de caudales de diseño e hidrogramas para tránsito de crecientes</t>
  </si>
  <si>
    <t>Crear la capa geográfica shapefile de localización de puntos de estudio.</t>
  </si>
  <si>
    <t>Libro R.HCMC.PuntoEstudio.xlsx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</si>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</sst>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10"/>
      <color rgb="FFC00000"/>
      <name val="Segoe UI Light"/>
      <family val="2"/>
    </font>
    <font>
      <sz val="9"/>
      <color indexed="81"/>
      <name val="Segoe UI Light"/>
      <family val="2"/>
    </font>
    <font>
      <u/>
      <sz val="11"/>
      <color theme="10"/>
      <name val="Calibri"/>
      <family val="2"/>
      <scheme val="minor"/>
    </font>
    <font>
      <sz val="10"/>
      <color theme="10"/>
      <name val="Segoe UI Light"/>
      <family val="2"/>
    </font>
    <font>
      <sz val="10"/>
      <color rgb="FF0070C0"/>
      <name val="Segoe UI Ligh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8"/>
      <color rgb="FF0070C0"/>
      <name val="Segoe UI Light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7" borderId="18" applyNumberFormat="0" applyAlignment="0" applyProtection="0"/>
    <xf numFmtId="0" fontId="19" fillId="8" borderId="19" applyNumberFormat="0" applyAlignment="0" applyProtection="0"/>
    <xf numFmtId="0" fontId="20" fillId="8" borderId="18" applyNumberFormat="0" applyAlignment="0" applyProtection="0"/>
    <xf numFmtId="0" fontId="21" fillId="0" borderId="20" applyNumberFormat="0" applyFill="0" applyAlignment="0" applyProtection="0"/>
    <xf numFmtId="0" fontId="22" fillId="9" borderId="21" applyNumberFormat="0" applyAlignment="0" applyProtection="0"/>
    <xf numFmtId="0" fontId="23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7" fillId="6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26" fillId="22" borderId="0" applyNumberFormat="0" applyBorder="0" applyAlignment="0" applyProtection="0"/>
    <xf numFmtId="0" fontId="26" fillId="26" borderId="0" applyNumberFormat="0" applyBorder="0" applyAlignment="0" applyProtection="0"/>
    <xf numFmtId="0" fontId="26" fillId="30" borderId="0" applyNumberFormat="0" applyBorder="0" applyAlignment="0" applyProtection="0"/>
    <xf numFmtId="0" fontId="26" fillId="34" borderId="0" applyNumberFormat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5" fillId="0" borderId="0" xfId="3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1" applyFont="1" applyFill="1" applyAlignment="1">
      <alignment horizontal="right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3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top" wrapText="1"/>
    </xf>
    <xf numFmtId="2" fontId="5" fillId="0" borderId="1" xfId="0" applyNumberFormat="1" applyFont="1" applyBorder="1" applyAlignment="1" applyProtection="1">
      <alignment horizontal="center" vertical="top" wrapText="1"/>
      <protection locked="0"/>
    </xf>
    <xf numFmtId="2" fontId="5" fillId="0" borderId="1" xfId="0" applyNumberFormat="1" applyFont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165" fontId="5" fillId="0" borderId="5" xfId="0" applyNumberFormat="1" applyFont="1" applyBorder="1" applyAlignment="1" applyProtection="1">
      <alignment horizontal="left" vertical="top" wrapText="1"/>
      <protection locked="0"/>
    </xf>
    <xf numFmtId="2" fontId="5" fillId="0" borderId="6" xfId="0" applyNumberFormat="1" applyFont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2" fontId="5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vertical="top"/>
    </xf>
    <xf numFmtId="0" fontId="4" fillId="0" borderId="5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2" fontId="5" fillId="0" borderId="11" xfId="0" applyNumberFormat="1" applyFont="1" applyBorder="1" applyAlignment="1">
      <alignment horizontal="center" vertical="top" wrapText="1"/>
    </xf>
    <xf numFmtId="2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1" xfId="0" applyNumberFormat="1" applyFont="1" applyBorder="1" applyAlignment="1">
      <alignment horizontal="center" vertical="top" wrapText="1"/>
    </xf>
    <xf numFmtId="165" fontId="5" fillId="0" borderId="5" xfId="0" applyNumberFormat="1" applyFont="1" applyBorder="1" applyAlignment="1" applyProtection="1">
      <alignment horizontal="left" vertical="top"/>
      <protection locked="0"/>
    </xf>
    <xf numFmtId="2" fontId="5" fillId="0" borderId="1" xfId="0" applyNumberFormat="1" applyFont="1" applyBorder="1" applyAlignment="1" applyProtection="1">
      <alignment horizontal="left" vertical="top"/>
      <protection locked="0"/>
    </xf>
    <xf numFmtId="2" fontId="5" fillId="0" borderId="11" xfId="0" applyNumberFormat="1" applyFont="1" applyBorder="1" applyAlignment="1" applyProtection="1">
      <alignment horizontal="left" vertical="top"/>
      <protection locked="0"/>
    </xf>
    <xf numFmtId="0" fontId="5" fillId="0" borderId="0" xfId="0" applyFont="1" applyAlignment="1">
      <alignment horizontal="left" vertical="top"/>
    </xf>
    <xf numFmtId="0" fontId="5" fillId="2" borderId="12" xfId="0" applyFont="1" applyFill="1" applyBorder="1" applyAlignment="1">
      <alignment horizontal="center" vertical="top" wrapText="1"/>
    </xf>
    <xf numFmtId="2" fontId="5" fillId="0" borderId="8" xfId="0" applyNumberFormat="1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10" fillId="0" borderId="0" xfId="5" applyFont="1" applyBorder="1" applyAlignment="1">
      <alignment vertical="top" wrapText="1"/>
    </xf>
    <xf numFmtId="2" fontId="11" fillId="0" borderId="1" xfId="0" applyNumberFormat="1" applyFont="1" applyBorder="1" applyAlignment="1">
      <alignment horizontal="center" vertical="top"/>
    </xf>
    <xf numFmtId="2" fontId="11" fillId="0" borderId="8" xfId="0" applyNumberFormat="1" applyFont="1" applyBorder="1" applyAlignment="1">
      <alignment horizontal="center" vertical="top"/>
    </xf>
    <xf numFmtId="0" fontId="29" fillId="0" borderId="0" xfId="0" applyFont="1" applyAlignment="1">
      <alignment horizontal="right" vertical="top"/>
    </xf>
    <xf numFmtId="2" fontId="5" fillId="0" borderId="9" xfId="0" applyNumberFormat="1" applyFont="1" applyBorder="1" applyAlignment="1">
      <alignment horizontal="center" vertical="top" wrapText="1"/>
    </xf>
    <xf numFmtId="2" fontId="11" fillId="0" borderId="5" xfId="0" applyNumberFormat="1" applyFont="1" applyBorder="1" applyAlignment="1" applyProtection="1">
      <alignment horizontal="center" vertical="top" wrapText="1"/>
      <protection locked="0"/>
    </xf>
    <xf numFmtId="2" fontId="11" fillId="0" borderId="12" xfId="0" applyNumberFormat="1" applyFont="1" applyBorder="1" applyAlignment="1" applyProtection="1">
      <alignment horizontal="center" vertical="top" wrapText="1"/>
      <protection locked="0"/>
    </xf>
    <xf numFmtId="2" fontId="11" fillId="0" borderId="6" xfId="0" applyNumberFormat="1" applyFont="1" applyBorder="1" applyAlignment="1">
      <alignment horizontal="center" vertical="top" wrapText="1"/>
    </xf>
    <xf numFmtId="2" fontId="11" fillId="0" borderId="5" xfId="0" applyNumberFormat="1" applyFont="1" applyBorder="1" applyAlignment="1" applyProtection="1">
      <alignment horizontal="left" vertical="top"/>
      <protection locked="0"/>
    </xf>
    <xf numFmtId="2" fontId="11" fillId="0" borderId="12" xfId="0" applyNumberFormat="1" applyFont="1" applyBorder="1" applyAlignment="1" applyProtection="1">
      <alignment horizontal="left" vertical="top"/>
      <protection locked="0"/>
    </xf>
    <xf numFmtId="2" fontId="11" fillId="0" borderId="1" xfId="0" applyNumberFormat="1" applyFont="1" applyBorder="1" applyAlignment="1">
      <alignment horizontal="left" vertical="top"/>
    </xf>
    <xf numFmtId="2" fontId="11" fillId="0" borderId="1" xfId="0" applyNumberFormat="1" applyFont="1" applyBorder="1" applyAlignment="1" applyProtection="1">
      <alignment horizontal="left" vertical="top"/>
      <protection locked="0"/>
    </xf>
    <xf numFmtId="2" fontId="11" fillId="0" borderId="6" xfId="0" applyNumberFormat="1" applyFont="1" applyBorder="1" applyAlignment="1">
      <alignment horizontal="left" vertical="top"/>
    </xf>
    <xf numFmtId="165" fontId="5" fillId="2" borderId="5" xfId="0" applyNumberFormat="1" applyFont="1" applyFill="1" applyBorder="1" applyAlignment="1" applyProtection="1">
      <alignment horizontal="left" vertical="top" wrapText="1"/>
      <protection locked="0"/>
    </xf>
    <xf numFmtId="2" fontId="5" fillId="2" borderId="1" xfId="0" applyNumberFormat="1" applyFont="1" applyFill="1" applyBorder="1" applyAlignment="1" applyProtection="1">
      <alignment horizontal="left" vertical="top" wrapText="1"/>
      <protection locked="0"/>
    </xf>
    <xf numFmtId="2" fontId="11" fillId="2" borderId="1" xfId="0" applyNumberFormat="1" applyFont="1" applyFill="1" applyBorder="1" applyAlignment="1" applyProtection="1">
      <alignment horizontal="center" vertical="top" wrapText="1"/>
      <protection locked="0"/>
    </xf>
    <xf numFmtId="2" fontId="5" fillId="2" borderId="1" xfId="0" applyNumberFormat="1" applyFont="1" applyFill="1" applyBorder="1" applyAlignment="1">
      <alignment horizontal="center" vertical="top" wrapText="1"/>
    </xf>
    <xf numFmtId="2" fontId="5" fillId="2" borderId="1" xfId="0" applyNumberFormat="1" applyFont="1" applyFill="1" applyBorder="1" applyAlignment="1" applyProtection="1">
      <alignment horizontal="center" vertical="top" wrapText="1"/>
      <protection locked="0"/>
    </xf>
    <xf numFmtId="2" fontId="5" fillId="2" borderId="1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11" fillId="2" borderId="24" xfId="0" applyNumberFormat="1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26" xfId="0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/>
    </xf>
    <xf numFmtId="0" fontId="5" fillId="2" borderId="10" xfId="0" applyFont="1" applyFill="1" applyBorder="1" applyAlignment="1">
      <alignment horizontal="center" vertical="top"/>
    </xf>
    <xf numFmtId="165" fontId="5" fillId="3" borderId="27" xfId="0" applyNumberFormat="1" applyFont="1" applyFill="1" applyBorder="1" applyAlignment="1">
      <alignment horizontal="right" vertical="top" wrapText="1"/>
    </xf>
    <xf numFmtId="165" fontId="5" fillId="3" borderId="28" xfId="0" applyNumberFormat="1" applyFont="1" applyFill="1" applyBorder="1" applyAlignment="1">
      <alignment horizontal="right" vertical="top" wrapText="1"/>
    </xf>
    <xf numFmtId="0" fontId="7" fillId="0" borderId="25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165" fontId="5" fillId="2" borderId="24" xfId="0" applyNumberFormat="1" applyFont="1" applyFill="1" applyBorder="1" applyAlignment="1">
      <alignment horizontal="right" vertical="top" wrapText="1"/>
    </xf>
    <xf numFmtId="0" fontId="30" fillId="0" borderId="0" xfId="5" applyFont="1" applyBorder="1" applyAlignment="1">
      <alignment horizontal="left" vertical="top"/>
    </xf>
  </cellXfs>
  <cellStyles count="51">
    <cellStyle name="20% - Accent1" xfId="23" builtinId="30" customBuiltin="1"/>
    <cellStyle name="20% - Accent2" xfId="26" builtinId="34" customBuiltin="1"/>
    <cellStyle name="20% - Accent3" xfId="29" builtinId="38" customBuiltin="1"/>
    <cellStyle name="20% - Accent4" xfId="32" builtinId="42" customBuiltin="1"/>
    <cellStyle name="20% - Accent5" xfId="35" builtinId="46" customBuiltin="1"/>
    <cellStyle name="20% - Accent6" xfId="38" builtinId="50" customBuiltin="1"/>
    <cellStyle name="40% - Accent1" xfId="24" builtinId="31" customBuiltin="1"/>
    <cellStyle name="40% - Accent2" xfId="27" builtinId="35" customBuiltin="1"/>
    <cellStyle name="40% - Accent3" xfId="30" builtinId="39" customBuiltin="1"/>
    <cellStyle name="40% - Accent4" xfId="33" builtinId="43" customBuiltin="1"/>
    <cellStyle name="40% - Accent5" xfId="36" builtinId="47" customBuiltin="1"/>
    <cellStyle name="40% - Accent6" xfId="39" builtinId="51" customBuiltin="1"/>
    <cellStyle name="60% - Accent1 2" xfId="41" xr:uid="{4C645ACF-ABF1-4272-A463-2D82178495C9}"/>
    <cellStyle name="60% - Accent2 2" xfId="42" xr:uid="{4B8F1043-73D2-4B93-9064-BB8D9FDEA04C}"/>
    <cellStyle name="60% - Accent3 2" xfId="43" xr:uid="{303C55FE-2279-4C34-AF67-A48D6ED343A4}"/>
    <cellStyle name="60% - Accent4 2" xfId="44" xr:uid="{1DFC857C-7D15-4B66-A6B6-A13174C126F3}"/>
    <cellStyle name="60% - Accent5 2" xfId="45" xr:uid="{CE564E57-8440-4804-9E12-DF867AFAFA39}"/>
    <cellStyle name="60% - Accent6 2" xfId="46" xr:uid="{A20F18B2-A986-46E3-8B9C-49D21DFC3E07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 2" xfId="47" xr:uid="{84E84E95-56EF-489B-9D0D-6478E20F7A7E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ipervínculo 2" xfId="1" xr:uid="{31AB4584-48B5-483C-8AA6-C2DF10B27C24}"/>
    <cellStyle name="Hyperlink" xfId="5" builtinId="8"/>
    <cellStyle name="Input" xfId="13" builtinId="20" customBuiltin="1"/>
    <cellStyle name="Linked Cell" xfId="16" builtinId="24" customBuiltin="1"/>
    <cellStyle name="Millares 2" xfId="4" xr:uid="{B2346456-3EA3-414B-995D-FAA581EEA6A8}"/>
    <cellStyle name="Millares 2 2" xfId="50" xr:uid="{EA953803-53FD-42B4-A68A-70A3918875CC}"/>
    <cellStyle name="Millares 2 3" xfId="48" xr:uid="{2C41A56C-C76D-483D-82DC-038ADB67F9E0}"/>
    <cellStyle name="Neutral 2" xfId="40" xr:uid="{DF497201-729F-497B-90BB-9104B2138F39}"/>
    <cellStyle name="Normal" xfId="0" builtinId="0"/>
    <cellStyle name="Normal 2" xfId="3" xr:uid="{5BE8A7FD-F8F9-4363-89EA-43A3CEB9DCAE}"/>
    <cellStyle name="Normal 3" xfId="2" xr:uid="{1BD222BC-86EE-4D01-AA8D-83508C777D9B}"/>
    <cellStyle name="Note" xfId="19" builtinId="10" customBuiltin="1"/>
    <cellStyle name="Output" xfId="14" builtinId="21" customBuiltin="1"/>
    <cellStyle name="Porcentaje 2" xfId="49" xr:uid="{8BD4044C-C24E-4474-86A5-5A554CA7A9B1}"/>
    <cellStyle name="Title" xfId="6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 1.2. Modelación hidrológica para obtención de caudales de diseño e hidrogramas para tránsito de crecientes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4726960784313725"/>
          <c:w val="0.83492607174103239"/>
          <c:h val="0.523993655978493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57064</xdr:colOff>
      <xdr:row>3</xdr:row>
      <xdr:rowOff>14882</xdr:rowOff>
    </xdr:from>
    <xdr:to>
      <xdr:col>14</xdr:col>
      <xdr:colOff>149689</xdr:colOff>
      <xdr:row>18</xdr:row>
      <xdr:rowOff>108656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0"/>
  <sheetViews>
    <sheetView showGridLines="0" tabSelected="1" zoomScale="160" zoomScaleNormal="160" workbookViewId="0">
      <selection activeCell="B18" sqref="B18:F18"/>
    </sheetView>
  </sheetViews>
  <sheetFormatPr defaultColWidth="11.33203125" defaultRowHeight="15.4" x14ac:dyDescent="0.45"/>
  <cols>
    <col min="1" max="1" width="2.6640625" style="17" customWidth="1"/>
    <col min="2" max="2" width="13.33203125" style="17" customWidth="1"/>
    <col min="3" max="4" width="11.46484375" style="17" customWidth="1"/>
    <col min="5" max="5" width="12.796875" style="17" customWidth="1"/>
    <col min="6" max="6" width="11.46484375" style="17" customWidth="1"/>
    <col min="7" max="7" width="2.6640625" style="17" customWidth="1"/>
    <col min="8" max="16384" width="11.33203125" style="17"/>
  </cols>
  <sheetData>
    <row r="1" spans="2:6" x14ac:dyDescent="0.45">
      <c r="F1" s="35" t="s">
        <v>60</v>
      </c>
    </row>
    <row r="2" spans="2:6" ht="14.25" customHeight="1" x14ac:dyDescent="0.45">
      <c r="B2" s="51" t="s">
        <v>61</v>
      </c>
      <c r="C2" s="51"/>
      <c r="D2" s="51"/>
      <c r="E2" s="51"/>
      <c r="F2" s="51"/>
    </row>
    <row r="3" spans="2:6" ht="16.5" customHeight="1" x14ac:dyDescent="0.45">
      <c r="B3" s="52"/>
      <c r="C3" s="52"/>
      <c r="D3" s="52"/>
      <c r="E3" s="52"/>
      <c r="F3" s="52"/>
    </row>
    <row r="4" spans="2:6" ht="32.25" customHeight="1" x14ac:dyDescent="0.45">
      <c r="B4" s="29" t="s">
        <v>22</v>
      </c>
      <c r="C4" s="30" t="s">
        <v>50</v>
      </c>
      <c r="D4" s="30" t="s">
        <v>44</v>
      </c>
      <c r="E4" s="30" t="s">
        <v>51</v>
      </c>
      <c r="F4" s="31" t="s">
        <v>43</v>
      </c>
    </row>
    <row r="5" spans="2:6" x14ac:dyDescent="0.45">
      <c r="B5" s="18" t="s">
        <v>45</v>
      </c>
      <c r="C5" s="33">
        <v>5</v>
      </c>
      <c r="D5" s="10">
        <f>Detalle!J23*C5/5</f>
        <v>0</v>
      </c>
      <c r="E5" s="33">
        <v>5</v>
      </c>
      <c r="F5" s="13">
        <f>AVERAGE(D5:E5)</f>
        <v>2.5</v>
      </c>
    </row>
    <row r="6" spans="2:6" x14ac:dyDescent="0.45">
      <c r="B6" s="18" t="s">
        <v>46</v>
      </c>
      <c r="C6" s="33">
        <v>5</v>
      </c>
      <c r="D6" s="10">
        <f>Detalle!V23*C6/5</f>
        <v>0</v>
      </c>
      <c r="E6" s="33"/>
      <c r="F6" s="13">
        <f t="shared" ref="F6:F17" si="0">AVERAGE(D6:E6)</f>
        <v>0</v>
      </c>
    </row>
    <row r="7" spans="2:6" x14ac:dyDescent="0.45">
      <c r="B7" s="18" t="s">
        <v>47</v>
      </c>
      <c r="C7" s="33">
        <v>5</v>
      </c>
      <c r="D7" s="10">
        <f>Detalle!AH23*C7/5</f>
        <v>0</v>
      </c>
      <c r="E7" s="33"/>
      <c r="F7" s="13">
        <f t="shared" si="0"/>
        <v>0</v>
      </c>
    </row>
    <row r="8" spans="2:6" x14ac:dyDescent="0.45">
      <c r="B8" s="18" t="s">
        <v>48</v>
      </c>
      <c r="C8" s="33">
        <v>5</v>
      </c>
      <c r="D8" s="10">
        <f>Detalle!AT23*C8/5</f>
        <v>0</v>
      </c>
      <c r="E8" s="33"/>
      <c r="F8" s="13">
        <f t="shared" si="0"/>
        <v>0</v>
      </c>
    </row>
    <row r="9" spans="2:6" x14ac:dyDescent="0.45">
      <c r="B9" s="18" t="s">
        <v>49</v>
      </c>
      <c r="C9" s="33">
        <v>5</v>
      </c>
      <c r="D9" s="10">
        <f>Detalle!BF23*C9/5</f>
        <v>0</v>
      </c>
      <c r="E9" s="33"/>
      <c r="F9" s="13">
        <f t="shared" si="0"/>
        <v>0</v>
      </c>
    </row>
    <row r="10" spans="2:6" x14ac:dyDescent="0.45">
      <c r="B10" s="18" t="s">
        <v>52</v>
      </c>
      <c r="C10" s="33">
        <v>5</v>
      </c>
      <c r="D10" s="10">
        <f>Detalle!BR23*C10/5</f>
        <v>0</v>
      </c>
      <c r="E10" s="33"/>
      <c r="F10" s="13">
        <f t="shared" si="0"/>
        <v>0</v>
      </c>
    </row>
    <row r="11" spans="2:6" x14ac:dyDescent="0.45">
      <c r="B11" s="18" t="s">
        <v>53</v>
      </c>
      <c r="C11" s="33">
        <v>5</v>
      </c>
      <c r="D11" s="10">
        <f>Detalle!CD23*C11/5</f>
        <v>0</v>
      </c>
      <c r="E11" s="33"/>
      <c r="F11" s="13">
        <f t="shared" si="0"/>
        <v>0</v>
      </c>
    </row>
    <row r="12" spans="2:6" x14ac:dyDescent="0.45">
      <c r="B12" s="18" t="s">
        <v>54</v>
      </c>
      <c r="C12" s="33">
        <v>5</v>
      </c>
      <c r="D12" s="10">
        <f>Detalle!CP23*C12/5</f>
        <v>0</v>
      </c>
      <c r="E12" s="33"/>
      <c r="F12" s="13">
        <f t="shared" si="0"/>
        <v>0</v>
      </c>
    </row>
    <row r="13" spans="2:6" x14ac:dyDescent="0.45">
      <c r="B13" s="18" t="s">
        <v>55</v>
      </c>
      <c r="C13" s="33">
        <v>5</v>
      </c>
      <c r="D13" s="10">
        <f>Detalle!DB23*C13/5</f>
        <v>0</v>
      </c>
      <c r="E13" s="33"/>
      <c r="F13" s="13">
        <f t="shared" si="0"/>
        <v>0</v>
      </c>
    </row>
    <row r="14" spans="2:6" x14ac:dyDescent="0.45">
      <c r="B14" s="18" t="s">
        <v>56</v>
      </c>
      <c r="C14" s="33">
        <v>5</v>
      </c>
      <c r="D14" s="10">
        <f>Detalle!DN23*C14/5</f>
        <v>0</v>
      </c>
      <c r="E14" s="33"/>
      <c r="F14" s="13">
        <f t="shared" si="0"/>
        <v>0</v>
      </c>
    </row>
    <row r="15" spans="2:6" x14ac:dyDescent="0.45">
      <c r="B15" s="18" t="s">
        <v>57</v>
      </c>
      <c r="C15" s="33">
        <v>5</v>
      </c>
      <c r="D15" s="10">
        <f>Detalle!DZ23*C15/5</f>
        <v>0</v>
      </c>
      <c r="E15" s="33"/>
      <c r="F15" s="13">
        <f t="shared" si="0"/>
        <v>0</v>
      </c>
    </row>
    <row r="16" spans="2:6" x14ac:dyDescent="0.45">
      <c r="B16" s="18" t="s">
        <v>58</v>
      </c>
      <c r="C16" s="33">
        <v>5</v>
      </c>
      <c r="D16" s="10">
        <f>Detalle!EL23*C16/5</f>
        <v>0</v>
      </c>
      <c r="E16" s="33"/>
      <c r="F16" s="13">
        <f t="shared" si="0"/>
        <v>0</v>
      </c>
    </row>
    <row r="17" spans="2:6" x14ac:dyDescent="0.45">
      <c r="B17" s="19" t="s">
        <v>59</v>
      </c>
      <c r="C17" s="34">
        <v>5</v>
      </c>
      <c r="D17" s="28">
        <f>Detalle!EX23*C17/5</f>
        <v>0</v>
      </c>
      <c r="E17" s="34"/>
      <c r="F17" s="36">
        <f t="shared" si="0"/>
        <v>0</v>
      </c>
    </row>
    <row r="18" spans="2:6" ht="14.25" customHeight="1" x14ac:dyDescent="0.45">
      <c r="B18" s="75" t="str">
        <f>HYPERLINK(_xlfn.CONCAT("https://github.com/rcfdtools/R.HCMC/blob/main/activity/",F1,"/Readme.md"),_xlfn.CONCAT("Ir a actividad ",F1," en GitHub."))</f>
        <v>Ir a actividad M01A02 en GitHub.</v>
      </c>
      <c r="C18" s="75"/>
      <c r="D18" s="75"/>
      <c r="E18" s="75"/>
      <c r="F18" s="75"/>
    </row>
    <row r="19" spans="2:6" x14ac:dyDescent="0.45">
      <c r="B19" s="75"/>
      <c r="C19" s="75"/>
      <c r="D19" s="75"/>
      <c r="E19" s="75"/>
      <c r="F19" s="75"/>
    </row>
    <row r="20" spans="2:6" x14ac:dyDescent="0.45">
      <c r="B20" s="32"/>
      <c r="C20" s="32"/>
      <c r="D20" s="32"/>
      <c r="E20" s="32"/>
      <c r="F20" s="32"/>
    </row>
  </sheetData>
  <mergeCells count="3">
    <mergeCell ref="B2:F3"/>
    <mergeCell ref="B18:F18"/>
    <mergeCell ref="B19:F19"/>
  </mergeCells>
  <phoneticPr fontId="2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>
    <pageSetUpPr fitToPage="1"/>
  </sheetPr>
  <dimension ref="A1:FI46"/>
  <sheetViews>
    <sheetView showGridLines="0" zoomScale="115" zoomScaleNormal="11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C16" sqref="C16"/>
    </sheetView>
  </sheetViews>
  <sheetFormatPr defaultColWidth="11.33203125" defaultRowHeight="15.4" x14ac:dyDescent="0.45"/>
  <cols>
    <col min="1" max="1" width="2.6640625" style="6" customWidth="1"/>
    <col min="2" max="2" width="16.33203125" style="4" customWidth="1"/>
    <col min="3" max="3" width="46.1328125" style="5" customWidth="1"/>
    <col min="4" max="4" width="7.33203125" style="5" customWidth="1"/>
    <col min="5" max="6" width="4.6640625" style="5" customWidth="1"/>
    <col min="7" max="8" width="10" style="5" customWidth="1"/>
    <col min="9" max="9" width="6.53125" style="5" customWidth="1"/>
    <col min="10" max="10" width="9.6640625" style="5" customWidth="1"/>
    <col min="11" max="11" width="8.53125" style="5" customWidth="1"/>
    <col min="12" max="12" width="10.1328125" style="5" customWidth="1"/>
    <col min="13" max="18" width="8.53125" style="5" customWidth="1"/>
    <col min="19" max="20" width="10" style="5" customWidth="1"/>
    <col min="21" max="21" width="10.1328125" style="5" customWidth="1"/>
    <col min="22" max="23" width="8.53125" style="5" customWidth="1"/>
    <col min="24" max="30" width="10.1328125" style="5" customWidth="1"/>
    <col min="31" max="32" width="10" style="5" customWidth="1"/>
    <col min="33" max="33" width="10.1328125" style="5" customWidth="1"/>
    <col min="34" max="35" width="8.53125" style="5" customWidth="1"/>
    <col min="36" max="42" width="10.1328125" style="5" customWidth="1"/>
    <col min="43" max="44" width="10" style="5" customWidth="1"/>
    <col min="45" max="45" width="10.1328125" style="5" customWidth="1"/>
    <col min="46" max="47" width="8.53125" style="5" customWidth="1"/>
    <col min="48" max="54" width="10.1328125" style="5" customWidth="1"/>
    <col min="55" max="56" width="10" style="5" customWidth="1"/>
    <col min="57" max="57" width="10.1328125" style="5" customWidth="1"/>
    <col min="58" max="58" width="8.53125" style="5" customWidth="1"/>
    <col min="59" max="66" width="10.1328125" style="5" customWidth="1"/>
    <col min="67" max="68" width="10" style="5" customWidth="1"/>
    <col min="69" max="69" width="10.1328125" style="5" customWidth="1"/>
    <col min="70" max="71" width="8.53125" style="5" customWidth="1"/>
    <col min="72" max="78" width="10.1328125" style="5" customWidth="1"/>
    <col min="79" max="80" width="10" style="5" customWidth="1"/>
    <col min="81" max="81" width="10.1328125" style="5" customWidth="1"/>
    <col min="82" max="82" width="8.53125" style="5" bestFit="1" customWidth="1"/>
    <col min="83" max="83" width="8.53125" style="5" customWidth="1"/>
    <col min="84" max="93" width="10.1328125" style="5" customWidth="1"/>
    <col min="94" max="94" width="8.53125" style="5" bestFit="1" customWidth="1"/>
    <col min="95" max="95" width="8.53125" style="5" customWidth="1"/>
    <col min="96" max="105" width="10.1328125" style="5" customWidth="1"/>
    <col min="106" max="106" width="8.53125" style="5" bestFit="1" customWidth="1"/>
    <col min="107" max="107" width="8.53125" style="5" customWidth="1"/>
    <col min="108" max="117" width="10.1328125" style="5" customWidth="1"/>
    <col min="118" max="118" width="8.53125" style="5" bestFit="1" customWidth="1"/>
    <col min="119" max="119" width="8.53125" style="5" customWidth="1"/>
    <col min="120" max="129" width="10.1328125" style="5" customWidth="1"/>
    <col min="130" max="130" width="8.53125" style="5" bestFit="1" customWidth="1"/>
    <col min="131" max="131" width="8.53125" style="5" customWidth="1"/>
    <col min="132" max="141" width="10.1328125" style="5" customWidth="1"/>
    <col min="142" max="142" width="8.53125" style="5" bestFit="1" customWidth="1"/>
    <col min="143" max="143" width="8.53125" style="5" customWidth="1"/>
    <col min="144" max="153" width="10.1328125" style="5" customWidth="1"/>
    <col min="154" max="154" width="8.53125" style="5" bestFit="1" customWidth="1"/>
    <col min="155" max="155" width="8.53125" style="5" customWidth="1"/>
    <col min="156" max="165" width="10.1328125" style="5" customWidth="1"/>
    <col min="166" max="16384" width="11.33203125" style="4"/>
  </cols>
  <sheetData>
    <row r="1" spans="1:165" x14ac:dyDescent="0.45">
      <c r="A1" s="3"/>
      <c r="B1" s="7" t="str">
        <f>Calificacion!B2</f>
        <v>Calificación 1.2. Modelación hidrológica para obtención de caudales de diseño e hidrogramas para tránsito de crecientes</v>
      </c>
      <c r="C1" s="4"/>
      <c r="D1" s="4"/>
      <c r="E1" s="4"/>
      <c r="F1" s="4"/>
      <c r="G1" s="4"/>
      <c r="H1" s="4"/>
      <c r="I1" s="4"/>
      <c r="L1" s="4"/>
      <c r="M1" s="4"/>
      <c r="N1" s="4"/>
      <c r="O1" s="4"/>
      <c r="P1" s="4"/>
      <c r="Q1" s="4"/>
      <c r="R1" s="4"/>
      <c r="S1" s="4"/>
      <c r="T1" s="4"/>
      <c r="U1" s="4"/>
      <c r="X1" s="4"/>
      <c r="Y1" s="4"/>
      <c r="Z1" s="4"/>
      <c r="AA1" s="4"/>
      <c r="AB1" s="4"/>
      <c r="AC1" s="4"/>
      <c r="AD1" s="4"/>
      <c r="AE1" s="4"/>
      <c r="AF1" s="4"/>
      <c r="AG1" s="4"/>
      <c r="AJ1" s="4"/>
      <c r="AK1" s="4"/>
      <c r="AL1" s="4"/>
      <c r="AM1" s="4"/>
      <c r="AN1" s="4"/>
      <c r="AO1" s="4"/>
      <c r="AP1" s="4"/>
      <c r="AQ1" s="4"/>
      <c r="AR1" s="4"/>
      <c r="AS1" s="4"/>
      <c r="AV1" s="4"/>
      <c r="AW1" s="4"/>
      <c r="AX1" s="4"/>
      <c r="AY1" s="4"/>
      <c r="AZ1" s="4"/>
      <c r="BA1" s="4"/>
      <c r="BB1" s="4"/>
      <c r="BC1" s="4"/>
      <c r="BD1" s="4"/>
      <c r="BE1" s="4"/>
      <c r="BH1" s="4"/>
      <c r="BI1" s="4"/>
      <c r="BJ1" s="4"/>
      <c r="BK1" s="4"/>
      <c r="BL1" s="4"/>
      <c r="BM1" s="4"/>
      <c r="BN1" s="4"/>
      <c r="BO1" s="4"/>
      <c r="BP1" s="4"/>
      <c r="BQ1" s="4"/>
      <c r="BT1" s="4"/>
      <c r="BU1" s="4"/>
      <c r="BV1" s="4"/>
      <c r="BW1" s="4"/>
      <c r="BX1" s="4"/>
      <c r="BY1" s="4"/>
      <c r="BZ1" s="4"/>
      <c r="CA1" s="4"/>
      <c r="CB1" s="4"/>
      <c r="CC1" s="4"/>
      <c r="CF1" s="4"/>
      <c r="CG1" s="4"/>
      <c r="CH1" s="4"/>
      <c r="CI1" s="4"/>
      <c r="CJ1" s="4"/>
      <c r="CK1" s="4"/>
      <c r="CL1" s="4"/>
      <c r="CM1" s="4"/>
      <c r="CN1" s="4"/>
      <c r="CO1" s="4"/>
      <c r="CR1" s="4"/>
      <c r="CS1" s="4"/>
      <c r="CT1" s="4"/>
      <c r="CU1" s="4"/>
      <c r="CV1" s="4"/>
      <c r="CW1" s="4"/>
      <c r="CX1" s="4"/>
      <c r="CY1" s="4"/>
      <c r="CZ1" s="4"/>
      <c r="DA1" s="4"/>
      <c r="DD1" s="4"/>
      <c r="DE1" s="4"/>
      <c r="DF1" s="4"/>
      <c r="DG1" s="4"/>
      <c r="DH1" s="4"/>
      <c r="DI1" s="4"/>
      <c r="DJ1" s="4"/>
      <c r="DK1" s="4"/>
      <c r="DL1" s="4"/>
      <c r="DM1" s="4"/>
      <c r="DP1" s="4"/>
      <c r="DQ1" s="4"/>
      <c r="DR1" s="4"/>
      <c r="DS1" s="4"/>
      <c r="DT1" s="4"/>
      <c r="DU1" s="4"/>
      <c r="DV1" s="4"/>
      <c r="DW1" s="4"/>
      <c r="DX1" s="4"/>
      <c r="DY1" s="4"/>
      <c r="EB1" s="4"/>
      <c r="EC1" s="4"/>
      <c r="ED1" s="4"/>
      <c r="EE1" s="4"/>
      <c r="EF1" s="4"/>
      <c r="EG1" s="4"/>
      <c r="EH1" s="4"/>
      <c r="EI1" s="4"/>
      <c r="EJ1" s="4"/>
      <c r="EK1" s="4"/>
      <c r="EN1" s="4"/>
      <c r="EO1" s="4"/>
      <c r="EP1" s="4"/>
      <c r="EQ1" s="4"/>
      <c r="ER1" s="4"/>
      <c r="ES1" s="4"/>
      <c r="ET1" s="4"/>
      <c r="EU1" s="4"/>
      <c r="EV1" s="4"/>
      <c r="EW1" s="4"/>
      <c r="EZ1" s="4"/>
      <c r="FA1" s="4"/>
      <c r="FB1" s="4"/>
      <c r="FC1" s="4"/>
      <c r="FD1" s="4"/>
      <c r="FE1" s="4"/>
      <c r="FF1" s="4"/>
      <c r="FG1" s="4"/>
      <c r="FH1" s="4"/>
      <c r="FI1" s="4"/>
    </row>
    <row r="2" spans="1:165" s="7" customFormat="1" x14ac:dyDescent="0.45">
      <c r="A2" s="6"/>
      <c r="B2" s="54" t="s">
        <v>3</v>
      </c>
      <c r="C2" s="56" t="s">
        <v>4</v>
      </c>
      <c r="D2" s="68" t="s">
        <v>26</v>
      </c>
      <c r="E2" s="68"/>
      <c r="F2" s="68"/>
      <c r="G2" s="68"/>
      <c r="H2" s="68"/>
      <c r="I2" s="69"/>
      <c r="J2" s="58" t="str">
        <f>Calificacion!$B5</f>
        <v>Grupo 1</v>
      </c>
      <c r="K2" s="59"/>
      <c r="L2" s="60"/>
      <c r="M2" s="60"/>
      <c r="N2" s="60"/>
      <c r="O2" s="60"/>
      <c r="P2" s="60"/>
      <c r="Q2" s="60"/>
      <c r="R2" s="60"/>
      <c r="S2" s="61"/>
      <c r="T2" s="61"/>
      <c r="U2" s="62"/>
      <c r="V2" s="58" t="str">
        <f>Calificacion!$B6</f>
        <v>Grupo 2</v>
      </c>
      <c r="W2" s="59"/>
      <c r="X2" s="60"/>
      <c r="Y2" s="60"/>
      <c r="Z2" s="60"/>
      <c r="AA2" s="60"/>
      <c r="AB2" s="60"/>
      <c r="AC2" s="60"/>
      <c r="AD2" s="60"/>
      <c r="AE2" s="61"/>
      <c r="AF2" s="61"/>
      <c r="AG2" s="62"/>
      <c r="AH2" s="58" t="str">
        <f>Calificacion!$B7</f>
        <v>Grupo 3</v>
      </c>
      <c r="AI2" s="59"/>
      <c r="AJ2" s="60"/>
      <c r="AK2" s="60"/>
      <c r="AL2" s="60"/>
      <c r="AM2" s="60"/>
      <c r="AN2" s="60"/>
      <c r="AO2" s="60"/>
      <c r="AP2" s="60"/>
      <c r="AQ2" s="61"/>
      <c r="AR2" s="61"/>
      <c r="AS2" s="62"/>
      <c r="AT2" s="58" t="str">
        <f>Calificacion!$B8</f>
        <v>Grupo 4</v>
      </c>
      <c r="AU2" s="59"/>
      <c r="AV2" s="60"/>
      <c r="AW2" s="60"/>
      <c r="AX2" s="60"/>
      <c r="AY2" s="60"/>
      <c r="AZ2" s="60"/>
      <c r="BA2" s="60"/>
      <c r="BB2" s="60"/>
      <c r="BC2" s="61"/>
      <c r="BD2" s="61"/>
      <c r="BE2" s="62"/>
      <c r="BF2" s="58" t="str">
        <f>Calificacion!$B9</f>
        <v>Grupo 5</v>
      </c>
      <c r="BG2" s="60"/>
      <c r="BH2" s="60"/>
      <c r="BI2" s="60"/>
      <c r="BJ2" s="60"/>
      <c r="BK2" s="60"/>
      <c r="BL2" s="60"/>
      <c r="BM2" s="60"/>
      <c r="BN2" s="60"/>
      <c r="BO2" s="61"/>
      <c r="BP2" s="61"/>
      <c r="BQ2" s="62"/>
      <c r="BR2" s="58" t="str">
        <f>Calificacion!$B10</f>
        <v>Grupo 6</v>
      </c>
      <c r="BS2" s="59"/>
      <c r="BT2" s="60"/>
      <c r="BU2" s="60"/>
      <c r="BV2" s="60"/>
      <c r="BW2" s="60"/>
      <c r="BX2" s="60"/>
      <c r="BY2" s="60"/>
      <c r="BZ2" s="60"/>
      <c r="CA2" s="61"/>
      <c r="CB2" s="61"/>
      <c r="CC2" s="62"/>
      <c r="CD2" s="58" t="str">
        <f>Calificacion!$B11</f>
        <v>Grupo 7</v>
      </c>
      <c r="CE2" s="59"/>
      <c r="CF2" s="60"/>
      <c r="CG2" s="60"/>
      <c r="CH2" s="60"/>
      <c r="CI2" s="60"/>
      <c r="CJ2" s="60"/>
      <c r="CK2" s="60"/>
      <c r="CL2" s="60"/>
      <c r="CM2" s="61"/>
      <c r="CN2" s="61"/>
      <c r="CO2" s="62"/>
      <c r="CP2" s="58" t="str">
        <f>Calificacion!$B12</f>
        <v>Grupo 8</v>
      </c>
      <c r="CQ2" s="59"/>
      <c r="CR2" s="60"/>
      <c r="CS2" s="60"/>
      <c r="CT2" s="60"/>
      <c r="CU2" s="60"/>
      <c r="CV2" s="60"/>
      <c r="CW2" s="60"/>
      <c r="CX2" s="60"/>
      <c r="CY2" s="61"/>
      <c r="CZ2" s="61"/>
      <c r="DA2" s="62"/>
      <c r="DB2" s="58" t="str">
        <f>Calificacion!$B13</f>
        <v>Grupo 9</v>
      </c>
      <c r="DC2" s="59"/>
      <c r="DD2" s="60"/>
      <c r="DE2" s="60"/>
      <c r="DF2" s="60"/>
      <c r="DG2" s="60"/>
      <c r="DH2" s="60"/>
      <c r="DI2" s="60"/>
      <c r="DJ2" s="60"/>
      <c r="DK2" s="61"/>
      <c r="DL2" s="61"/>
      <c r="DM2" s="62"/>
      <c r="DN2" s="58" t="str">
        <f>Calificacion!$B14</f>
        <v>Grupo 10</v>
      </c>
      <c r="DO2" s="59"/>
      <c r="DP2" s="60"/>
      <c r="DQ2" s="60"/>
      <c r="DR2" s="60"/>
      <c r="DS2" s="60"/>
      <c r="DT2" s="60"/>
      <c r="DU2" s="60"/>
      <c r="DV2" s="60"/>
      <c r="DW2" s="61"/>
      <c r="DX2" s="61"/>
      <c r="DY2" s="62"/>
      <c r="DZ2" s="58" t="str">
        <f>Calificacion!$B15</f>
        <v>Grupo 11</v>
      </c>
      <c r="EA2" s="60"/>
      <c r="EB2" s="60"/>
      <c r="EC2" s="60"/>
      <c r="ED2" s="60"/>
      <c r="EE2" s="60"/>
      <c r="EF2" s="60"/>
      <c r="EG2" s="60"/>
      <c r="EH2" s="60"/>
      <c r="EI2" s="61"/>
      <c r="EJ2" s="61"/>
      <c r="EK2" s="62"/>
      <c r="EL2" s="58" t="str">
        <f>Calificacion!$B16</f>
        <v>Grupo 12</v>
      </c>
      <c r="EM2" s="60"/>
      <c r="EN2" s="60"/>
      <c r="EO2" s="60"/>
      <c r="EP2" s="60"/>
      <c r="EQ2" s="60"/>
      <c r="ER2" s="60"/>
      <c r="ES2" s="60"/>
      <c r="ET2" s="60"/>
      <c r="EU2" s="61"/>
      <c r="EV2" s="61"/>
      <c r="EW2" s="62"/>
      <c r="EX2" s="58" t="str">
        <f>Calificacion!$B17</f>
        <v>Grupo 13</v>
      </c>
      <c r="EY2" s="60"/>
      <c r="EZ2" s="60"/>
      <c r="FA2" s="60"/>
      <c r="FB2" s="60"/>
      <c r="FC2" s="60"/>
      <c r="FD2" s="60"/>
      <c r="FE2" s="60"/>
      <c r="FF2" s="60"/>
      <c r="FG2" s="61"/>
      <c r="FH2" s="61"/>
      <c r="FI2" s="62"/>
    </row>
    <row r="3" spans="1:165" ht="30.75" x14ac:dyDescent="0.45">
      <c r="B3" s="55"/>
      <c r="C3" s="57"/>
      <c r="D3" s="8" t="s">
        <v>7</v>
      </c>
      <c r="E3" s="8" t="s">
        <v>35</v>
      </c>
      <c r="F3" s="8" t="s">
        <v>36</v>
      </c>
      <c r="G3" s="8" t="s">
        <v>41</v>
      </c>
      <c r="H3" s="8" t="s">
        <v>42</v>
      </c>
      <c r="I3" s="14" t="s">
        <v>20</v>
      </c>
      <c r="J3" s="15" t="s">
        <v>5</v>
      </c>
      <c r="K3" s="27" t="s">
        <v>7</v>
      </c>
      <c r="L3" s="8" t="s">
        <v>6</v>
      </c>
      <c r="M3" s="8" t="s">
        <v>8</v>
      </c>
      <c r="N3" s="8" t="s">
        <v>9</v>
      </c>
      <c r="O3" s="8" t="s">
        <v>10</v>
      </c>
      <c r="P3" s="8" t="s">
        <v>11</v>
      </c>
      <c r="Q3" s="8" t="s">
        <v>12</v>
      </c>
      <c r="R3" s="8" t="s">
        <v>13</v>
      </c>
      <c r="S3" s="8" t="s">
        <v>41</v>
      </c>
      <c r="T3" s="8" t="s">
        <v>42</v>
      </c>
      <c r="U3" s="11" t="s">
        <v>20</v>
      </c>
      <c r="V3" s="15" t="s">
        <v>5</v>
      </c>
      <c r="W3" s="27" t="s">
        <v>7</v>
      </c>
      <c r="X3" s="8" t="s">
        <v>6</v>
      </c>
      <c r="Y3" s="8" t="s">
        <v>8</v>
      </c>
      <c r="Z3" s="8" t="s">
        <v>9</v>
      </c>
      <c r="AA3" s="8" t="s">
        <v>10</v>
      </c>
      <c r="AB3" s="8" t="s">
        <v>11</v>
      </c>
      <c r="AC3" s="8" t="s">
        <v>12</v>
      </c>
      <c r="AD3" s="8" t="s">
        <v>13</v>
      </c>
      <c r="AE3" s="8" t="s">
        <v>41</v>
      </c>
      <c r="AF3" s="8" t="s">
        <v>42</v>
      </c>
      <c r="AG3" s="11" t="s">
        <v>20</v>
      </c>
      <c r="AH3" s="15" t="s">
        <v>5</v>
      </c>
      <c r="AI3" s="27" t="s">
        <v>7</v>
      </c>
      <c r="AJ3" s="8" t="s">
        <v>6</v>
      </c>
      <c r="AK3" s="8" t="s">
        <v>8</v>
      </c>
      <c r="AL3" s="8" t="s">
        <v>9</v>
      </c>
      <c r="AM3" s="8" t="s">
        <v>10</v>
      </c>
      <c r="AN3" s="8" t="s">
        <v>11</v>
      </c>
      <c r="AO3" s="8" t="s">
        <v>12</v>
      </c>
      <c r="AP3" s="8" t="s">
        <v>13</v>
      </c>
      <c r="AQ3" s="8" t="s">
        <v>41</v>
      </c>
      <c r="AR3" s="8" t="s">
        <v>42</v>
      </c>
      <c r="AS3" s="11" t="s">
        <v>20</v>
      </c>
      <c r="AT3" s="15" t="s">
        <v>5</v>
      </c>
      <c r="AU3" s="27" t="s">
        <v>7</v>
      </c>
      <c r="AV3" s="8" t="s">
        <v>6</v>
      </c>
      <c r="AW3" s="8" t="s">
        <v>8</v>
      </c>
      <c r="AX3" s="8" t="s">
        <v>9</v>
      </c>
      <c r="AY3" s="8" t="s">
        <v>10</v>
      </c>
      <c r="AZ3" s="8" t="s">
        <v>11</v>
      </c>
      <c r="BA3" s="8" t="s">
        <v>12</v>
      </c>
      <c r="BB3" s="8" t="s">
        <v>13</v>
      </c>
      <c r="BC3" s="8" t="s">
        <v>41</v>
      </c>
      <c r="BD3" s="8" t="s">
        <v>42</v>
      </c>
      <c r="BE3" s="11" t="s">
        <v>20</v>
      </c>
      <c r="BF3" s="15" t="s">
        <v>5</v>
      </c>
      <c r="BG3" s="8" t="s">
        <v>7</v>
      </c>
      <c r="BH3" s="8" t="s">
        <v>6</v>
      </c>
      <c r="BI3" s="8" t="s">
        <v>8</v>
      </c>
      <c r="BJ3" s="8" t="s">
        <v>9</v>
      </c>
      <c r="BK3" s="8" t="s">
        <v>10</v>
      </c>
      <c r="BL3" s="8" t="s">
        <v>11</v>
      </c>
      <c r="BM3" s="8" t="s">
        <v>12</v>
      </c>
      <c r="BN3" s="8" t="s">
        <v>13</v>
      </c>
      <c r="BO3" s="8" t="s">
        <v>41</v>
      </c>
      <c r="BP3" s="8" t="s">
        <v>42</v>
      </c>
      <c r="BQ3" s="11" t="s">
        <v>20</v>
      </c>
      <c r="BR3" s="15" t="s">
        <v>5</v>
      </c>
      <c r="BS3" s="27" t="s">
        <v>7</v>
      </c>
      <c r="BT3" s="8" t="s">
        <v>6</v>
      </c>
      <c r="BU3" s="8" t="s">
        <v>8</v>
      </c>
      <c r="BV3" s="8" t="s">
        <v>9</v>
      </c>
      <c r="BW3" s="8" t="s">
        <v>10</v>
      </c>
      <c r="BX3" s="8" t="s">
        <v>11</v>
      </c>
      <c r="BY3" s="8" t="s">
        <v>12</v>
      </c>
      <c r="BZ3" s="8" t="s">
        <v>13</v>
      </c>
      <c r="CA3" s="8" t="s">
        <v>41</v>
      </c>
      <c r="CB3" s="8" t="s">
        <v>42</v>
      </c>
      <c r="CC3" s="11" t="s">
        <v>20</v>
      </c>
      <c r="CD3" s="15" t="s">
        <v>5</v>
      </c>
      <c r="CE3" s="27" t="s">
        <v>7</v>
      </c>
      <c r="CF3" s="8" t="s">
        <v>6</v>
      </c>
      <c r="CG3" s="8" t="s">
        <v>8</v>
      </c>
      <c r="CH3" s="8" t="s">
        <v>9</v>
      </c>
      <c r="CI3" s="8" t="s">
        <v>10</v>
      </c>
      <c r="CJ3" s="8" t="s">
        <v>11</v>
      </c>
      <c r="CK3" s="8" t="s">
        <v>12</v>
      </c>
      <c r="CL3" s="8" t="s">
        <v>13</v>
      </c>
      <c r="CM3" s="14" t="s">
        <v>41</v>
      </c>
      <c r="CN3" s="14" t="s">
        <v>42</v>
      </c>
      <c r="CO3" s="11" t="s">
        <v>20</v>
      </c>
      <c r="CP3" s="15" t="s">
        <v>5</v>
      </c>
      <c r="CQ3" s="27" t="s">
        <v>7</v>
      </c>
      <c r="CR3" s="8" t="s">
        <v>6</v>
      </c>
      <c r="CS3" s="8" t="s">
        <v>8</v>
      </c>
      <c r="CT3" s="8" t="s">
        <v>9</v>
      </c>
      <c r="CU3" s="8" t="s">
        <v>10</v>
      </c>
      <c r="CV3" s="8" t="s">
        <v>11</v>
      </c>
      <c r="CW3" s="8" t="s">
        <v>12</v>
      </c>
      <c r="CX3" s="8" t="s">
        <v>13</v>
      </c>
      <c r="CY3" s="14" t="s">
        <v>41</v>
      </c>
      <c r="CZ3" s="14" t="s">
        <v>42</v>
      </c>
      <c r="DA3" s="11" t="s">
        <v>20</v>
      </c>
      <c r="DB3" s="15" t="s">
        <v>5</v>
      </c>
      <c r="DC3" s="27" t="s">
        <v>7</v>
      </c>
      <c r="DD3" s="8" t="s">
        <v>6</v>
      </c>
      <c r="DE3" s="8" t="s">
        <v>8</v>
      </c>
      <c r="DF3" s="8" t="s">
        <v>9</v>
      </c>
      <c r="DG3" s="8" t="s">
        <v>10</v>
      </c>
      <c r="DH3" s="8" t="s">
        <v>11</v>
      </c>
      <c r="DI3" s="8" t="s">
        <v>12</v>
      </c>
      <c r="DJ3" s="8" t="s">
        <v>13</v>
      </c>
      <c r="DK3" s="14" t="s">
        <v>41</v>
      </c>
      <c r="DL3" s="14" t="s">
        <v>42</v>
      </c>
      <c r="DM3" s="11" t="s">
        <v>20</v>
      </c>
      <c r="DN3" s="15" t="s">
        <v>5</v>
      </c>
      <c r="DO3" s="27" t="s">
        <v>7</v>
      </c>
      <c r="DP3" s="8" t="s">
        <v>6</v>
      </c>
      <c r="DQ3" s="8" t="s">
        <v>8</v>
      </c>
      <c r="DR3" s="8" t="s">
        <v>9</v>
      </c>
      <c r="DS3" s="8" t="s">
        <v>10</v>
      </c>
      <c r="DT3" s="8" t="s">
        <v>11</v>
      </c>
      <c r="DU3" s="8" t="s">
        <v>12</v>
      </c>
      <c r="DV3" s="8" t="s">
        <v>13</v>
      </c>
      <c r="DW3" s="14" t="s">
        <v>41</v>
      </c>
      <c r="DX3" s="14" t="s">
        <v>42</v>
      </c>
      <c r="DY3" s="11" t="s">
        <v>20</v>
      </c>
      <c r="DZ3" s="15" t="s">
        <v>5</v>
      </c>
      <c r="EA3" s="27" t="s">
        <v>7</v>
      </c>
      <c r="EB3" s="8" t="s">
        <v>6</v>
      </c>
      <c r="EC3" s="8" t="s">
        <v>8</v>
      </c>
      <c r="ED3" s="8" t="s">
        <v>9</v>
      </c>
      <c r="EE3" s="8" t="s">
        <v>10</v>
      </c>
      <c r="EF3" s="8" t="s">
        <v>11</v>
      </c>
      <c r="EG3" s="8" t="s">
        <v>12</v>
      </c>
      <c r="EH3" s="8" t="s">
        <v>13</v>
      </c>
      <c r="EI3" s="14" t="s">
        <v>41</v>
      </c>
      <c r="EJ3" s="14" t="s">
        <v>42</v>
      </c>
      <c r="EK3" s="11" t="s">
        <v>20</v>
      </c>
      <c r="EL3" s="15" t="s">
        <v>5</v>
      </c>
      <c r="EM3" s="27" t="s">
        <v>7</v>
      </c>
      <c r="EN3" s="8" t="s">
        <v>6</v>
      </c>
      <c r="EO3" s="8" t="s">
        <v>8</v>
      </c>
      <c r="EP3" s="8" t="s">
        <v>9</v>
      </c>
      <c r="EQ3" s="8" t="s">
        <v>10</v>
      </c>
      <c r="ER3" s="8" t="s">
        <v>11</v>
      </c>
      <c r="ES3" s="8" t="s">
        <v>12</v>
      </c>
      <c r="ET3" s="8" t="s">
        <v>13</v>
      </c>
      <c r="EU3" s="14" t="s">
        <v>41</v>
      </c>
      <c r="EV3" s="14" t="s">
        <v>42</v>
      </c>
      <c r="EW3" s="11" t="s">
        <v>20</v>
      </c>
      <c r="EX3" s="15" t="s">
        <v>5</v>
      </c>
      <c r="EY3" s="27" t="s">
        <v>7</v>
      </c>
      <c r="EZ3" s="8" t="s">
        <v>6</v>
      </c>
      <c r="FA3" s="8" t="s">
        <v>8</v>
      </c>
      <c r="FB3" s="8" t="s">
        <v>9</v>
      </c>
      <c r="FC3" s="8" t="s">
        <v>10</v>
      </c>
      <c r="FD3" s="8" t="s">
        <v>11</v>
      </c>
      <c r="FE3" s="8" t="s">
        <v>12</v>
      </c>
      <c r="FF3" s="8" t="s">
        <v>13</v>
      </c>
      <c r="FG3" s="14" t="s">
        <v>41</v>
      </c>
      <c r="FH3" s="14" t="s">
        <v>42</v>
      </c>
      <c r="FI3" s="11" t="s">
        <v>20</v>
      </c>
    </row>
    <row r="4" spans="1:165" x14ac:dyDescent="0.45">
      <c r="B4" s="12" t="s">
        <v>16</v>
      </c>
      <c r="C4" s="16" t="s">
        <v>14</v>
      </c>
      <c r="D4" s="21">
        <v>185.2118016</v>
      </c>
      <c r="E4" s="10">
        <f>IF(2.42152697940285*D4^(-0.256817145936596)&gt;1,1,2.42152697940285*D4^(-0.256817145936596))</f>
        <v>0.63345113679278509</v>
      </c>
      <c r="F4" s="10">
        <f>IF(2.16599216088011*D4^(-0.223981119529414)&gt;1,1,2.16599216088011*D4^(-0.223981119529414))</f>
        <v>0.67257685197015304</v>
      </c>
      <c r="G4" s="9">
        <v>1506.318262</v>
      </c>
      <c r="H4" s="9">
        <v>1232.8382879999999</v>
      </c>
      <c r="I4" s="20">
        <f>(((G4-H4)/1000)*(D4*(1000*1000)))/(365*24*60*60)</f>
        <v>1.6061554631551613</v>
      </c>
      <c r="J4" s="37">
        <v>0</v>
      </c>
      <c r="K4" s="38"/>
      <c r="L4" s="22"/>
      <c r="M4" s="22"/>
      <c r="N4" s="22"/>
      <c r="O4" s="22"/>
      <c r="P4" s="22"/>
      <c r="Q4" s="22"/>
      <c r="R4" s="22"/>
      <c r="S4" s="22"/>
      <c r="T4" s="22"/>
      <c r="U4" s="39"/>
      <c r="V4" s="37">
        <v>0</v>
      </c>
      <c r="W4" s="38"/>
      <c r="X4" s="22"/>
      <c r="Y4" s="22"/>
      <c r="Z4" s="22"/>
      <c r="AA4" s="22"/>
      <c r="AB4" s="22"/>
      <c r="AC4" s="22"/>
      <c r="AD4" s="22"/>
      <c r="AE4" s="22"/>
      <c r="AF4" s="22"/>
      <c r="AG4" s="39"/>
      <c r="AH4" s="37">
        <v>0</v>
      </c>
      <c r="AI4" s="38"/>
      <c r="AJ4" s="22"/>
      <c r="AK4" s="22"/>
      <c r="AL4" s="22"/>
      <c r="AM4" s="22"/>
      <c r="AN4" s="22"/>
      <c r="AO4" s="22"/>
      <c r="AP4" s="22"/>
      <c r="AQ4" s="22"/>
      <c r="AR4" s="22"/>
      <c r="AS4" s="39"/>
      <c r="AT4" s="37">
        <v>0</v>
      </c>
      <c r="AU4" s="38"/>
      <c r="AV4" s="22"/>
      <c r="AW4" s="22"/>
      <c r="AX4" s="22"/>
      <c r="AY4" s="22"/>
      <c r="AZ4" s="22"/>
      <c r="BA4" s="22"/>
      <c r="BB4" s="22"/>
      <c r="BC4" s="22"/>
      <c r="BD4" s="22"/>
      <c r="BE4" s="39"/>
      <c r="BF4" s="37">
        <v>0</v>
      </c>
      <c r="BG4" s="38"/>
      <c r="BH4" s="22"/>
      <c r="BI4" s="22"/>
      <c r="BJ4" s="22"/>
      <c r="BK4" s="22"/>
      <c r="BL4" s="22"/>
      <c r="BM4" s="22"/>
      <c r="BN4" s="22"/>
      <c r="BO4" s="22"/>
      <c r="BP4" s="22"/>
      <c r="BQ4" s="39"/>
      <c r="BR4" s="37">
        <v>0</v>
      </c>
      <c r="BS4" s="38"/>
      <c r="BT4" s="22"/>
      <c r="BU4" s="22"/>
      <c r="BV4" s="22"/>
      <c r="BW4" s="22"/>
      <c r="BX4" s="22"/>
      <c r="BY4" s="22"/>
      <c r="BZ4" s="22"/>
      <c r="CA4" s="22"/>
      <c r="CB4" s="22"/>
      <c r="CC4" s="39"/>
      <c r="CD4" s="37">
        <v>0</v>
      </c>
      <c r="CE4" s="38"/>
      <c r="CF4" s="22"/>
      <c r="CG4" s="22"/>
      <c r="CH4" s="22"/>
      <c r="CI4" s="22"/>
      <c r="CJ4" s="22"/>
      <c r="CK4" s="22"/>
      <c r="CL4" s="22"/>
      <c r="CM4" s="22"/>
      <c r="CN4" s="22"/>
      <c r="CO4" s="39"/>
      <c r="CP4" s="37">
        <v>0</v>
      </c>
      <c r="CQ4" s="38"/>
      <c r="CR4" s="22"/>
      <c r="CS4" s="22"/>
      <c r="CT4" s="22"/>
      <c r="CU4" s="22"/>
      <c r="CV4" s="22"/>
      <c r="CW4" s="22"/>
      <c r="CX4" s="22"/>
      <c r="CY4" s="22"/>
      <c r="CZ4" s="22"/>
      <c r="DA4" s="39"/>
      <c r="DB4" s="37">
        <v>0</v>
      </c>
      <c r="DC4" s="38"/>
      <c r="DD4" s="22"/>
      <c r="DE4" s="22"/>
      <c r="DF4" s="22"/>
      <c r="DG4" s="22"/>
      <c r="DH4" s="22"/>
      <c r="DI4" s="22"/>
      <c r="DJ4" s="22"/>
      <c r="DK4" s="22"/>
      <c r="DL4" s="22"/>
      <c r="DM4" s="39"/>
      <c r="DN4" s="37">
        <v>0</v>
      </c>
      <c r="DO4" s="38"/>
      <c r="DP4" s="22"/>
      <c r="DQ4" s="22"/>
      <c r="DR4" s="22"/>
      <c r="DS4" s="22"/>
      <c r="DT4" s="22"/>
      <c r="DU4" s="22"/>
      <c r="DV4" s="22"/>
      <c r="DW4" s="22"/>
      <c r="DX4" s="22"/>
      <c r="DY4" s="39"/>
      <c r="DZ4" s="37">
        <v>0</v>
      </c>
      <c r="EA4" s="38"/>
      <c r="EB4" s="22"/>
      <c r="EC4" s="22"/>
      <c r="ED4" s="22"/>
      <c r="EE4" s="22"/>
      <c r="EF4" s="22"/>
      <c r="EG4" s="22"/>
      <c r="EH4" s="22"/>
      <c r="EI4" s="22"/>
      <c r="EJ4" s="22"/>
      <c r="EK4" s="39"/>
      <c r="EL4" s="37">
        <v>0</v>
      </c>
      <c r="EM4" s="38"/>
      <c r="EN4" s="22"/>
      <c r="EO4" s="22"/>
      <c r="EP4" s="22"/>
      <c r="EQ4" s="22"/>
      <c r="ER4" s="22"/>
      <c r="ES4" s="22"/>
      <c r="ET4" s="22"/>
      <c r="EU4" s="22"/>
      <c r="EV4" s="22"/>
      <c r="EW4" s="39"/>
      <c r="EX4" s="37">
        <v>0</v>
      </c>
      <c r="EY4" s="38"/>
      <c r="EZ4" s="22"/>
      <c r="FA4" s="22"/>
      <c r="FB4" s="22"/>
      <c r="FC4" s="22"/>
      <c r="FD4" s="22"/>
      <c r="FE4" s="22"/>
      <c r="FF4" s="22"/>
      <c r="FG4" s="22"/>
      <c r="FH4" s="22"/>
      <c r="FI4" s="39"/>
    </row>
    <row r="5" spans="1:165" x14ac:dyDescent="0.45">
      <c r="B5" s="12" t="s">
        <v>17</v>
      </c>
      <c r="C5" s="16" t="s">
        <v>15</v>
      </c>
      <c r="D5" s="21">
        <v>247.05620160000001</v>
      </c>
      <c r="E5" s="10">
        <f>IF(2.42152697940285*D5^(-0.256817145936596)&gt;1,1,2.42152697940285*D5^(-0.256817145936596))</f>
        <v>0.58827221191397061</v>
      </c>
      <c r="F5" s="10">
        <f>IF(2.16599216088011*D5^(-0.223981119529414)&gt;1,1,2.16599216088011*D5^(-0.223981119529414))</f>
        <v>0.63054459511498517</v>
      </c>
      <c r="G5" s="9">
        <v>1507.8256670000001</v>
      </c>
      <c r="H5" s="9">
        <v>1243.4873700000001</v>
      </c>
      <c r="I5" s="20">
        <f>(((G5-H5)/1000)*(D5*(1000*1000)))/(365*24*60*60)</f>
        <v>2.0708528536983977</v>
      </c>
      <c r="J5" s="37"/>
      <c r="K5" s="38"/>
      <c r="L5" s="22"/>
      <c r="M5" s="22"/>
      <c r="N5" s="22"/>
      <c r="O5" s="22"/>
      <c r="P5" s="22"/>
      <c r="Q5" s="22"/>
      <c r="R5" s="22"/>
      <c r="S5" s="22"/>
      <c r="T5" s="22"/>
      <c r="U5" s="39"/>
      <c r="V5" s="37"/>
      <c r="W5" s="38"/>
      <c r="X5" s="22"/>
      <c r="Y5" s="22"/>
      <c r="Z5" s="22"/>
      <c r="AA5" s="22"/>
      <c r="AB5" s="22"/>
      <c r="AC5" s="22"/>
      <c r="AD5" s="22"/>
      <c r="AE5" s="22"/>
      <c r="AF5" s="22"/>
      <c r="AG5" s="39"/>
      <c r="AH5" s="37"/>
      <c r="AI5" s="38"/>
      <c r="AJ5" s="22"/>
      <c r="AK5" s="22"/>
      <c r="AL5" s="22"/>
      <c r="AM5" s="22"/>
      <c r="AN5" s="22"/>
      <c r="AO5" s="22"/>
      <c r="AP5" s="22"/>
      <c r="AQ5" s="22"/>
      <c r="AR5" s="22"/>
      <c r="AS5" s="39"/>
      <c r="AT5" s="37"/>
      <c r="AU5" s="38"/>
      <c r="AV5" s="22"/>
      <c r="AW5" s="22"/>
      <c r="AX5" s="22"/>
      <c r="AY5" s="22"/>
      <c r="AZ5" s="22"/>
      <c r="BA5" s="22"/>
      <c r="BB5" s="22"/>
      <c r="BC5" s="22"/>
      <c r="BD5" s="22"/>
      <c r="BE5" s="39"/>
      <c r="BF5" s="37"/>
      <c r="BG5" s="38"/>
      <c r="BH5" s="22"/>
      <c r="BI5" s="22"/>
      <c r="BJ5" s="22"/>
      <c r="BK5" s="22"/>
      <c r="BL5" s="22"/>
      <c r="BM5" s="22"/>
      <c r="BN5" s="22"/>
      <c r="BO5" s="22"/>
      <c r="BP5" s="22"/>
      <c r="BQ5" s="39"/>
      <c r="BR5" s="37"/>
      <c r="BS5" s="38"/>
      <c r="BT5" s="22"/>
      <c r="BU5" s="22"/>
      <c r="BV5" s="22"/>
      <c r="BW5" s="22"/>
      <c r="BX5" s="22"/>
      <c r="BY5" s="22"/>
      <c r="BZ5" s="22"/>
      <c r="CA5" s="22"/>
      <c r="CB5" s="22"/>
      <c r="CC5" s="39"/>
      <c r="CD5" s="37"/>
      <c r="CE5" s="38"/>
      <c r="CF5" s="22"/>
      <c r="CG5" s="22"/>
      <c r="CH5" s="22"/>
      <c r="CI5" s="22"/>
      <c r="CJ5" s="22"/>
      <c r="CK5" s="22"/>
      <c r="CL5" s="22"/>
      <c r="CM5" s="22"/>
      <c r="CN5" s="22"/>
      <c r="CO5" s="39"/>
      <c r="CP5" s="37"/>
      <c r="CQ5" s="38"/>
      <c r="CR5" s="22"/>
      <c r="CS5" s="22"/>
      <c r="CT5" s="22"/>
      <c r="CU5" s="22"/>
      <c r="CV5" s="22"/>
      <c r="CW5" s="22"/>
      <c r="CX5" s="22"/>
      <c r="CY5" s="22"/>
      <c r="CZ5" s="22"/>
      <c r="DA5" s="39"/>
      <c r="DB5" s="37"/>
      <c r="DC5" s="38"/>
      <c r="DD5" s="22"/>
      <c r="DE5" s="22"/>
      <c r="DF5" s="22"/>
      <c r="DG5" s="22"/>
      <c r="DH5" s="22"/>
      <c r="DI5" s="22"/>
      <c r="DJ5" s="22"/>
      <c r="DK5" s="22"/>
      <c r="DL5" s="22"/>
      <c r="DM5" s="39"/>
      <c r="DN5" s="37"/>
      <c r="DO5" s="38"/>
      <c r="DP5" s="22"/>
      <c r="DQ5" s="22"/>
      <c r="DR5" s="22"/>
      <c r="DS5" s="22"/>
      <c r="DT5" s="22"/>
      <c r="DU5" s="22"/>
      <c r="DV5" s="22"/>
      <c r="DW5" s="22"/>
      <c r="DX5" s="22"/>
      <c r="DY5" s="39"/>
      <c r="DZ5" s="37"/>
      <c r="EA5" s="38"/>
      <c r="EB5" s="22"/>
      <c r="EC5" s="22"/>
      <c r="ED5" s="22"/>
      <c r="EE5" s="22"/>
      <c r="EF5" s="22"/>
      <c r="EG5" s="22"/>
      <c r="EH5" s="22"/>
      <c r="EI5" s="22"/>
      <c r="EJ5" s="22"/>
      <c r="EK5" s="39"/>
      <c r="EL5" s="37"/>
      <c r="EM5" s="38"/>
      <c r="EN5" s="22"/>
      <c r="EO5" s="22"/>
      <c r="EP5" s="22"/>
      <c r="EQ5" s="22"/>
      <c r="ER5" s="22"/>
      <c r="ES5" s="22"/>
      <c r="ET5" s="22"/>
      <c r="EU5" s="22"/>
      <c r="EV5" s="22"/>
      <c r="EW5" s="39"/>
      <c r="EX5" s="37"/>
      <c r="EY5" s="38"/>
      <c r="EZ5" s="22"/>
      <c r="FA5" s="22"/>
      <c r="FB5" s="22"/>
      <c r="FC5" s="22"/>
      <c r="FD5" s="22"/>
      <c r="FE5" s="22"/>
      <c r="FF5" s="22"/>
      <c r="FG5" s="22"/>
      <c r="FH5" s="22"/>
      <c r="FI5" s="39"/>
    </row>
    <row r="6" spans="1:165" x14ac:dyDescent="0.45">
      <c r="B6" s="12" t="s">
        <v>0</v>
      </c>
      <c r="C6" s="16" t="s">
        <v>18</v>
      </c>
      <c r="D6" s="21">
        <v>225.3574016</v>
      </c>
      <c r="E6" s="10">
        <f t="shared" ref="E6:E13" si="0">IF(2.42152697940285*D6^(-0.256817145936596)&gt;1,1,2.42152697940285*D6^(-0.256817145936596))</f>
        <v>0.60232582597250739</v>
      </c>
      <c r="F6" s="10">
        <f t="shared" ref="F6:F13" si="1">IF(2.16599216088011*D6^(-0.223981119529414)&gt;1,1,2.16599216088011*D6^(-0.223981119529414))</f>
        <v>0.64366221390623002</v>
      </c>
      <c r="G6" s="9">
        <v>1508.479462</v>
      </c>
      <c r="H6" s="9">
        <v>1240.1193410000001</v>
      </c>
      <c r="I6" s="20">
        <f t="shared" ref="I6:I11" si="2">(((G6-H6)/1000)*(D6*(1000*1000)))/(365*24*60*60)</f>
        <v>1.9177111733137235</v>
      </c>
      <c r="J6" s="37"/>
      <c r="K6" s="38"/>
      <c r="L6" s="22"/>
      <c r="M6" s="22"/>
      <c r="N6" s="22"/>
      <c r="O6" s="22"/>
      <c r="P6" s="22"/>
      <c r="Q6" s="22"/>
      <c r="R6" s="22"/>
      <c r="S6" s="22"/>
      <c r="T6" s="22"/>
      <c r="U6" s="39"/>
      <c r="V6" s="37"/>
      <c r="W6" s="38"/>
      <c r="X6" s="22"/>
      <c r="Y6" s="22"/>
      <c r="Z6" s="22"/>
      <c r="AA6" s="22"/>
      <c r="AB6" s="22"/>
      <c r="AC6" s="22"/>
      <c r="AD6" s="22"/>
      <c r="AE6" s="22"/>
      <c r="AF6" s="22"/>
      <c r="AG6" s="39"/>
      <c r="AH6" s="37"/>
      <c r="AI6" s="38"/>
      <c r="AJ6" s="22"/>
      <c r="AK6" s="22"/>
      <c r="AL6" s="22"/>
      <c r="AM6" s="22"/>
      <c r="AN6" s="22"/>
      <c r="AO6" s="22"/>
      <c r="AP6" s="22"/>
      <c r="AQ6" s="22"/>
      <c r="AR6" s="22"/>
      <c r="AS6" s="39"/>
      <c r="AT6" s="37"/>
      <c r="AU6" s="38"/>
      <c r="AV6" s="22"/>
      <c r="AW6" s="22"/>
      <c r="AX6" s="22"/>
      <c r="AY6" s="22"/>
      <c r="AZ6" s="22"/>
      <c r="BA6" s="22"/>
      <c r="BB6" s="22"/>
      <c r="BC6" s="22"/>
      <c r="BD6" s="22"/>
      <c r="BE6" s="39"/>
      <c r="BF6" s="37"/>
      <c r="BG6" s="38"/>
      <c r="BH6" s="22"/>
      <c r="BI6" s="22"/>
      <c r="BJ6" s="22"/>
      <c r="BK6" s="22"/>
      <c r="BL6" s="22"/>
      <c r="BM6" s="22"/>
      <c r="BN6" s="22"/>
      <c r="BO6" s="22"/>
      <c r="BP6" s="22"/>
      <c r="BQ6" s="39"/>
      <c r="BR6" s="37"/>
      <c r="BS6" s="38"/>
      <c r="BT6" s="22"/>
      <c r="BU6" s="22"/>
      <c r="BV6" s="22"/>
      <c r="BW6" s="22"/>
      <c r="BX6" s="22"/>
      <c r="BY6" s="22"/>
      <c r="BZ6" s="22"/>
      <c r="CA6" s="22"/>
      <c r="CB6" s="22"/>
      <c r="CC6" s="39"/>
      <c r="CD6" s="37"/>
      <c r="CE6" s="38"/>
      <c r="CF6" s="22"/>
      <c r="CG6" s="22"/>
      <c r="CH6" s="22"/>
      <c r="CI6" s="22"/>
      <c r="CJ6" s="22"/>
      <c r="CK6" s="22"/>
      <c r="CL6" s="22"/>
      <c r="CM6" s="22"/>
      <c r="CN6" s="22"/>
      <c r="CO6" s="39"/>
      <c r="CP6" s="37"/>
      <c r="CQ6" s="38"/>
      <c r="CR6" s="22"/>
      <c r="CS6" s="22"/>
      <c r="CT6" s="22"/>
      <c r="CU6" s="22"/>
      <c r="CV6" s="22"/>
      <c r="CW6" s="22"/>
      <c r="CX6" s="22"/>
      <c r="CY6" s="22"/>
      <c r="CZ6" s="22"/>
      <c r="DA6" s="39"/>
      <c r="DB6" s="37"/>
      <c r="DC6" s="38"/>
      <c r="DD6" s="22"/>
      <c r="DE6" s="22"/>
      <c r="DF6" s="22"/>
      <c r="DG6" s="22"/>
      <c r="DH6" s="22"/>
      <c r="DI6" s="22"/>
      <c r="DJ6" s="22"/>
      <c r="DK6" s="22"/>
      <c r="DL6" s="22"/>
      <c r="DM6" s="39"/>
      <c r="DN6" s="37"/>
      <c r="DO6" s="38"/>
      <c r="DP6" s="22"/>
      <c r="DQ6" s="22"/>
      <c r="DR6" s="22"/>
      <c r="DS6" s="22"/>
      <c r="DT6" s="22"/>
      <c r="DU6" s="22"/>
      <c r="DV6" s="22"/>
      <c r="DW6" s="22"/>
      <c r="DX6" s="22"/>
      <c r="DY6" s="39"/>
      <c r="DZ6" s="37"/>
      <c r="EA6" s="38"/>
      <c r="EB6" s="22"/>
      <c r="EC6" s="22"/>
      <c r="ED6" s="22"/>
      <c r="EE6" s="22"/>
      <c r="EF6" s="22"/>
      <c r="EG6" s="22"/>
      <c r="EH6" s="22"/>
      <c r="EI6" s="22"/>
      <c r="EJ6" s="22"/>
      <c r="EK6" s="39"/>
      <c r="EL6" s="37"/>
      <c r="EM6" s="38"/>
      <c r="EN6" s="22"/>
      <c r="EO6" s="22"/>
      <c r="EP6" s="22"/>
      <c r="EQ6" s="22"/>
      <c r="ER6" s="22"/>
      <c r="ES6" s="22"/>
      <c r="ET6" s="22"/>
      <c r="EU6" s="22"/>
      <c r="EV6" s="22"/>
      <c r="EW6" s="39"/>
      <c r="EX6" s="37"/>
      <c r="EY6" s="38"/>
      <c r="EZ6" s="22"/>
      <c r="FA6" s="22"/>
      <c r="FB6" s="22"/>
      <c r="FC6" s="22"/>
      <c r="FD6" s="22"/>
      <c r="FE6" s="22"/>
      <c r="FF6" s="22"/>
      <c r="FG6" s="22"/>
      <c r="FH6" s="22"/>
      <c r="FI6" s="39"/>
    </row>
    <row r="7" spans="1:165" ht="46.15" x14ac:dyDescent="0.45">
      <c r="B7" s="12" t="s">
        <v>38</v>
      </c>
      <c r="C7" s="16" t="s">
        <v>39</v>
      </c>
      <c r="D7" s="21">
        <v>37.47</v>
      </c>
      <c r="E7" s="10">
        <f t="shared" si="0"/>
        <v>0.95486144388981131</v>
      </c>
      <c r="F7" s="10">
        <f t="shared" si="1"/>
        <v>0.96201411707191686</v>
      </c>
      <c r="G7" s="9">
        <v>1520.8459760000001</v>
      </c>
      <c r="H7" s="9">
        <v>1273.7525479999999</v>
      </c>
      <c r="I7" s="20">
        <f>(((G7-H7)/1000)*(D7*(1000*1000)))/(365*24*60*60)</f>
        <v>0.29358798665525127</v>
      </c>
      <c r="J7" s="37"/>
      <c r="K7" s="38"/>
      <c r="L7" s="22"/>
      <c r="M7" s="22"/>
      <c r="N7" s="22"/>
      <c r="O7" s="22"/>
      <c r="P7" s="22"/>
      <c r="Q7" s="22"/>
      <c r="R7" s="22"/>
      <c r="S7" s="22"/>
      <c r="T7" s="22"/>
      <c r="U7" s="39"/>
      <c r="V7" s="37"/>
      <c r="W7" s="38"/>
      <c r="X7" s="22"/>
      <c r="Y7" s="22"/>
      <c r="Z7" s="22"/>
      <c r="AA7" s="22"/>
      <c r="AB7" s="22"/>
      <c r="AC7" s="22"/>
      <c r="AD7" s="22"/>
      <c r="AE7" s="22"/>
      <c r="AF7" s="22"/>
      <c r="AG7" s="39"/>
      <c r="AH7" s="37"/>
      <c r="AI7" s="38"/>
      <c r="AJ7" s="22"/>
      <c r="AK7" s="22"/>
      <c r="AL7" s="22"/>
      <c r="AM7" s="22"/>
      <c r="AN7" s="22"/>
      <c r="AO7" s="22"/>
      <c r="AP7" s="22"/>
      <c r="AQ7" s="22"/>
      <c r="AR7" s="22"/>
      <c r="AS7" s="39"/>
      <c r="AT7" s="37"/>
      <c r="AU7" s="38"/>
      <c r="AV7" s="22"/>
      <c r="AW7" s="22"/>
      <c r="AX7" s="22"/>
      <c r="AY7" s="22"/>
      <c r="AZ7" s="22"/>
      <c r="BA7" s="22"/>
      <c r="BB7" s="22"/>
      <c r="BC7" s="22"/>
      <c r="BD7" s="22"/>
      <c r="BE7" s="39"/>
      <c r="BF7" s="37"/>
      <c r="BG7" s="38"/>
      <c r="BH7" s="22"/>
      <c r="BI7" s="22"/>
      <c r="BJ7" s="22"/>
      <c r="BK7" s="22"/>
      <c r="BL7" s="22"/>
      <c r="BM7" s="22"/>
      <c r="BN7" s="22"/>
      <c r="BO7" s="22"/>
      <c r="BP7" s="22"/>
      <c r="BQ7" s="39"/>
      <c r="BR7" s="37"/>
      <c r="BS7" s="38"/>
      <c r="BT7" s="22"/>
      <c r="BU7" s="22"/>
      <c r="BV7" s="22"/>
      <c r="BW7" s="22"/>
      <c r="BX7" s="22"/>
      <c r="BY7" s="22"/>
      <c r="BZ7" s="22"/>
      <c r="CA7" s="22"/>
      <c r="CB7" s="22"/>
      <c r="CC7" s="39"/>
      <c r="CD7" s="37"/>
      <c r="CE7" s="38"/>
      <c r="CF7" s="22"/>
      <c r="CG7" s="22"/>
      <c r="CH7" s="22"/>
      <c r="CI7" s="22"/>
      <c r="CJ7" s="22"/>
      <c r="CK7" s="22"/>
      <c r="CL7" s="22"/>
      <c r="CM7" s="22"/>
      <c r="CN7" s="22"/>
      <c r="CO7" s="39"/>
      <c r="CP7" s="37"/>
      <c r="CQ7" s="38"/>
      <c r="CR7" s="22"/>
      <c r="CS7" s="22"/>
      <c r="CT7" s="22"/>
      <c r="CU7" s="22"/>
      <c r="CV7" s="22"/>
      <c r="CW7" s="22"/>
      <c r="CX7" s="22"/>
      <c r="CY7" s="22"/>
      <c r="CZ7" s="22"/>
      <c r="DA7" s="39"/>
      <c r="DB7" s="37"/>
      <c r="DC7" s="38"/>
      <c r="DD7" s="22"/>
      <c r="DE7" s="22"/>
      <c r="DF7" s="22"/>
      <c r="DG7" s="22"/>
      <c r="DH7" s="22"/>
      <c r="DI7" s="22"/>
      <c r="DJ7" s="22"/>
      <c r="DK7" s="22"/>
      <c r="DL7" s="22"/>
      <c r="DM7" s="39"/>
      <c r="DN7" s="37"/>
      <c r="DO7" s="38"/>
      <c r="DP7" s="22"/>
      <c r="DQ7" s="22"/>
      <c r="DR7" s="22"/>
      <c r="DS7" s="22"/>
      <c r="DT7" s="22"/>
      <c r="DU7" s="22"/>
      <c r="DV7" s="22"/>
      <c r="DW7" s="22"/>
      <c r="DX7" s="22"/>
      <c r="DY7" s="39"/>
      <c r="DZ7" s="37"/>
      <c r="EA7" s="38"/>
      <c r="EB7" s="22"/>
      <c r="EC7" s="22"/>
      <c r="ED7" s="22"/>
      <c r="EE7" s="22"/>
      <c r="EF7" s="22"/>
      <c r="EG7" s="22"/>
      <c r="EH7" s="22"/>
      <c r="EI7" s="22"/>
      <c r="EJ7" s="22"/>
      <c r="EK7" s="39"/>
      <c r="EL7" s="37"/>
      <c r="EM7" s="38"/>
      <c r="EN7" s="22"/>
      <c r="EO7" s="22"/>
      <c r="EP7" s="22"/>
      <c r="EQ7" s="22"/>
      <c r="ER7" s="22"/>
      <c r="ES7" s="22"/>
      <c r="ET7" s="22"/>
      <c r="EU7" s="22"/>
      <c r="EV7" s="22"/>
      <c r="EW7" s="39"/>
      <c r="EX7" s="37"/>
      <c r="EY7" s="38"/>
      <c r="EZ7" s="22"/>
      <c r="FA7" s="22"/>
      <c r="FB7" s="22"/>
      <c r="FC7" s="22"/>
      <c r="FD7" s="22"/>
      <c r="FE7" s="22"/>
      <c r="FF7" s="22"/>
      <c r="FG7" s="22"/>
      <c r="FH7" s="22"/>
      <c r="FI7" s="39"/>
    </row>
    <row r="8" spans="1:165" ht="46.15" x14ac:dyDescent="0.45">
      <c r="B8" s="12" t="s">
        <v>38</v>
      </c>
      <c r="C8" s="16" t="s">
        <v>40</v>
      </c>
      <c r="D8" s="21">
        <v>37.47</v>
      </c>
      <c r="E8" s="22">
        <v>0.60232582597250739</v>
      </c>
      <c r="F8" s="22">
        <v>0.64366221390623002</v>
      </c>
      <c r="G8" s="9">
        <v>1520.8459760000001</v>
      </c>
      <c r="H8" s="9">
        <v>1273.7525479999999</v>
      </c>
      <c r="I8" s="20">
        <f t="shared" si="2"/>
        <v>0.29358798665525127</v>
      </c>
      <c r="J8" s="37"/>
      <c r="K8" s="38"/>
      <c r="L8" s="22"/>
      <c r="M8" s="22"/>
      <c r="N8" s="22"/>
      <c r="O8" s="22"/>
      <c r="P8" s="22"/>
      <c r="Q8" s="22"/>
      <c r="R8" s="22"/>
      <c r="S8" s="22"/>
      <c r="T8" s="22"/>
      <c r="U8" s="39"/>
      <c r="V8" s="37"/>
      <c r="W8" s="38"/>
      <c r="X8" s="22"/>
      <c r="Y8" s="22"/>
      <c r="Z8" s="22"/>
      <c r="AA8" s="22"/>
      <c r="AB8" s="22"/>
      <c r="AC8" s="22"/>
      <c r="AD8" s="22"/>
      <c r="AE8" s="22"/>
      <c r="AF8" s="22"/>
      <c r="AG8" s="39"/>
      <c r="AH8" s="37"/>
      <c r="AI8" s="38"/>
      <c r="AJ8" s="22"/>
      <c r="AK8" s="22"/>
      <c r="AL8" s="22"/>
      <c r="AM8" s="22"/>
      <c r="AN8" s="22"/>
      <c r="AO8" s="22"/>
      <c r="AP8" s="22"/>
      <c r="AQ8" s="22"/>
      <c r="AR8" s="22"/>
      <c r="AS8" s="39"/>
      <c r="AT8" s="37"/>
      <c r="AU8" s="38"/>
      <c r="AV8" s="22"/>
      <c r="AW8" s="22"/>
      <c r="AX8" s="22"/>
      <c r="AY8" s="22"/>
      <c r="AZ8" s="22"/>
      <c r="BA8" s="22"/>
      <c r="BB8" s="22"/>
      <c r="BC8" s="22"/>
      <c r="BD8" s="22"/>
      <c r="BE8" s="39"/>
      <c r="BF8" s="37"/>
      <c r="BG8" s="38"/>
      <c r="BH8" s="22"/>
      <c r="BI8" s="22"/>
      <c r="BJ8" s="22"/>
      <c r="BK8" s="22"/>
      <c r="BL8" s="22"/>
      <c r="BM8" s="22"/>
      <c r="BN8" s="22"/>
      <c r="BO8" s="22"/>
      <c r="BP8" s="22"/>
      <c r="BQ8" s="39"/>
      <c r="BR8" s="37"/>
      <c r="BS8" s="38"/>
      <c r="BT8" s="22"/>
      <c r="BU8" s="22"/>
      <c r="BV8" s="22"/>
      <c r="BW8" s="22"/>
      <c r="BX8" s="22"/>
      <c r="BY8" s="22"/>
      <c r="BZ8" s="22"/>
      <c r="CA8" s="22"/>
      <c r="CB8" s="22"/>
      <c r="CC8" s="39"/>
      <c r="CD8" s="37"/>
      <c r="CE8" s="38"/>
      <c r="CF8" s="22"/>
      <c r="CG8" s="22"/>
      <c r="CH8" s="22"/>
      <c r="CI8" s="22"/>
      <c r="CJ8" s="22"/>
      <c r="CK8" s="22"/>
      <c r="CL8" s="22"/>
      <c r="CM8" s="22"/>
      <c r="CN8" s="22"/>
      <c r="CO8" s="39"/>
      <c r="CP8" s="37"/>
      <c r="CQ8" s="38"/>
      <c r="CR8" s="22"/>
      <c r="CS8" s="22"/>
      <c r="CT8" s="22"/>
      <c r="CU8" s="22"/>
      <c r="CV8" s="22"/>
      <c r="CW8" s="22"/>
      <c r="CX8" s="22"/>
      <c r="CY8" s="22"/>
      <c r="CZ8" s="22"/>
      <c r="DA8" s="39"/>
      <c r="DB8" s="37"/>
      <c r="DC8" s="38"/>
      <c r="DD8" s="22"/>
      <c r="DE8" s="22"/>
      <c r="DF8" s="22"/>
      <c r="DG8" s="22"/>
      <c r="DH8" s="22"/>
      <c r="DI8" s="22"/>
      <c r="DJ8" s="22"/>
      <c r="DK8" s="22"/>
      <c r="DL8" s="22"/>
      <c r="DM8" s="39"/>
      <c r="DN8" s="37"/>
      <c r="DO8" s="38"/>
      <c r="DP8" s="22"/>
      <c r="DQ8" s="22"/>
      <c r="DR8" s="22"/>
      <c r="DS8" s="22"/>
      <c r="DT8" s="22"/>
      <c r="DU8" s="22"/>
      <c r="DV8" s="22"/>
      <c r="DW8" s="22"/>
      <c r="DX8" s="22"/>
      <c r="DY8" s="39"/>
      <c r="DZ8" s="37"/>
      <c r="EA8" s="38"/>
      <c r="EB8" s="22"/>
      <c r="EC8" s="22"/>
      <c r="ED8" s="22"/>
      <c r="EE8" s="22"/>
      <c r="EF8" s="22"/>
      <c r="EG8" s="22"/>
      <c r="EH8" s="22"/>
      <c r="EI8" s="22"/>
      <c r="EJ8" s="22"/>
      <c r="EK8" s="39"/>
      <c r="EL8" s="37"/>
      <c r="EM8" s="38"/>
      <c r="EN8" s="22"/>
      <c r="EO8" s="22"/>
      <c r="EP8" s="22"/>
      <c r="EQ8" s="22"/>
      <c r="ER8" s="22"/>
      <c r="ES8" s="22"/>
      <c r="ET8" s="22"/>
      <c r="EU8" s="22"/>
      <c r="EV8" s="22"/>
      <c r="EW8" s="39"/>
      <c r="EX8" s="37"/>
      <c r="EY8" s="38"/>
      <c r="EZ8" s="22"/>
      <c r="FA8" s="22"/>
      <c r="FB8" s="22"/>
      <c r="FC8" s="22"/>
      <c r="FD8" s="22"/>
      <c r="FE8" s="22"/>
      <c r="FF8" s="22"/>
      <c r="FG8" s="22"/>
      <c r="FH8" s="22"/>
      <c r="FI8" s="39"/>
    </row>
    <row r="9" spans="1:165" x14ac:dyDescent="0.45">
      <c r="B9" s="12" t="s">
        <v>1</v>
      </c>
      <c r="C9" s="16" t="s">
        <v>19</v>
      </c>
      <c r="D9" s="21">
        <v>243.1141016</v>
      </c>
      <c r="E9" s="10">
        <f t="shared" si="0"/>
        <v>0.59070732800410519</v>
      </c>
      <c r="F9" s="10">
        <f t="shared" si="1"/>
        <v>0.63282037249019918</v>
      </c>
      <c r="G9" s="9">
        <v>1508.6613649999999</v>
      </c>
      <c r="H9" s="9">
        <v>1243.210047</v>
      </c>
      <c r="I9" s="20">
        <f t="shared" si="2"/>
        <v>2.0463901158709374</v>
      </c>
      <c r="J9" s="37"/>
      <c r="K9" s="38"/>
      <c r="L9" s="22"/>
      <c r="M9" s="22"/>
      <c r="N9" s="22"/>
      <c r="O9" s="22"/>
      <c r="P9" s="22"/>
      <c r="Q9" s="22"/>
      <c r="R9" s="22"/>
      <c r="S9" s="22"/>
      <c r="T9" s="22"/>
      <c r="U9" s="39"/>
      <c r="V9" s="37"/>
      <c r="W9" s="38"/>
      <c r="X9" s="22"/>
      <c r="Y9" s="22"/>
      <c r="Z9" s="22"/>
      <c r="AA9" s="22"/>
      <c r="AB9" s="22"/>
      <c r="AC9" s="22"/>
      <c r="AD9" s="22"/>
      <c r="AE9" s="22"/>
      <c r="AF9" s="22"/>
      <c r="AG9" s="39"/>
      <c r="AH9" s="37"/>
      <c r="AI9" s="38"/>
      <c r="AJ9" s="22"/>
      <c r="AK9" s="22"/>
      <c r="AL9" s="22"/>
      <c r="AM9" s="22"/>
      <c r="AN9" s="22"/>
      <c r="AO9" s="22"/>
      <c r="AP9" s="22"/>
      <c r="AQ9" s="22"/>
      <c r="AR9" s="22"/>
      <c r="AS9" s="39"/>
      <c r="AT9" s="37"/>
      <c r="AU9" s="38"/>
      <c r="AV9" s="22"/>
      <c r="AW9" s="22"/>
      <c r="AX9" s="22"/>
      <c r="AY9" s="22"/>
      <c r="AZ9" s="22"/>
      <c r="BA9" s="22"/>
      <c r="BB9" s="22"/>
      <c r="BC9" s="22"/>
      <c r="BD9" s="22"/>
      <c r="BE9" s="39"/>
      <c r="BF9" s="37"/>
      <c r="BG9" s="38"/>
      <c r="BH9" s="22"/>
      <c r="BI9" s="22"/>
      <c r="BJ9" s="22"/>
      <c r="BK9" s="22"/>
      <c r="BL9" s="22"/>
      <c r="BM9" s="22"/>
      <c r="BN9" s="22"/>
      <c r="BO9" s="22"/>
      <c r="BP9" s="22"/>
      <c r="BQ9" s="39"/>
      <c r="BR9" s="37"/>
      <c r="BS9" s="38"/>
      <c r="BT9" s="22"/>
      <c r="BU9" s="22"/>
      <c r="BV9" s="22"/>
      <c r="BW9" s="22"/>
      <c r="BX9" s="22"/>
      <c r="BY9" s="22"/>
      <c r="BZ9" s="22"/>
      <c r="CA9" s="22"/>
      <c r="CB9" s="22"/>
      <c r="CC9" s="39"/>
      <c r="CD9" s="37"/>
      <c r="CE9" s="38"/>
      <c r="CF9" s="22"/>
      <c r="CG9" s="22"/>
      <c r="CH9" s="22"/>
      <c r="CI9" s="22"/>
      <c r="CJ9" s="22"/>
      <c r="CK9" s="22"/>
      <c r="CL9" s="22"/>
      <c r="CM9" s="22"/>
      <c r="CN9" s="22"/>
      <c r="CO9" s="39"/>
      <c r="CP9" s="37"/>
      <c r="CQ9" s="38"/>
      <c r="CR9" s="22"/>
      <c r="CS9" s="22"/>
      <c r="CT9" s="22"/>
      <c r="CU9" s="22"/>
      <c r="CV9" s="22"/>
      <c r="CW9" s="22"/>
      <c r="CX9" s="22"/>
      <c r="CY9" s="22"/>
      <c r="CZ9" s="22"/>
      <c r="DA9" s="39"/>
      <c r="DB9" s="37"/>
      <c r="DC9" s="38"/>
      <c r="DD9" s="22"/>
      <c r="DE9" s="22"/>
      <c r="DF9" s="22"/>
      <c r="DG9" s="22"/>
      <c r="DH9" s="22"/>
      <c r="DI9" s="22"/>
      <c r="DJ9" s="22"/>
      <c r="DK9" s="22"/>
      <c r="DL9" s="22"/>
      <c r="DM9" s="39"/>
      <c r="DN9" s="37"/>
      <c r="DO9" s="38"/>
      <c r="DP9" s="22"/>
      <c r="DQ9" s="22"/>
      <c r="DR9" s="22"/>
      <c r="DS9" s="22"/>
      <c r="DT9" s="22"/>
      <c r="DU9" s="22"/>
      <c r="DV9" s="22"/>
      <c r="DW9" s="22"/>
      <c r="DX9" s="22"/>
      <c r="DY9" s="39"/>
      <c r="DZ9" s="37"/>
      <c r="EA9" s="38"/>
      <c r="EB9" s="22"/>
      <c r="EC9" s="22"/>
      <c r="ED9" s="22"/>
      <c r="EE9" s="22"/>
      <c r="EF9" s="22"/>
      <c r="EG9" s="22"/>
      <c r="EH9" s="22"/>
      <c r="EI9" s="22"/>
      <c r="EJ9" s="22"/>
      <c r="EK9" s="39"/>
      <c r="EL9" s="37"/>
      <c r="EM9" s="38"/>
      <c r="EN9" s="22"/>
      <c r="EO9" s="22"/>
      <c r="EP9" s="22"/>
      <c r="EQ9" s="22"/>
      <c r="ER9" s="22"/>
      <c r="ES9" s="22"/>
      <c r="ET9" s="22"/>
      <c r="EU9" s="22"/>
      <c r="EV9" s="22"/>
      <c r="EW9" s="39"/>
      <c r="EX9" s="37"/>
      <c r="EY9" s="38"/>
      <c r="EZ9" s="22"/>
      <c r="FA9" s="22"/>
      <c r="FB9" s="22"/>
      <c r="FC9" s="22"/>
      <c r="FD9" s="22"/>
      <c r="FE9" s="22"/>
      <c r="FF9" s="22"/>
      <c r="FG9" s="22"/>
      <c r="FH9" s="22"/>
      <c r="FI9" s="39"/>
    </row>
    <row r="10" spans="1:165" ht="30.75" x14ac:dyDescent="0.45">
      <c r="B10" s="12" t="s">
        <v>2</v>
      </c>
      <c r="C10" s="16" t="s">
        <v>23</v>
      </c>
      <c r="D10" s="21">
        <v>15.195</v>
      </c>
      <c r="E10" s="10">
        <f t="shared" si="0"/>
        <v>1</v>
      </c>
      <c r="F10" s="10">
        <f t="shared" si="1"/>
        <v>1</v>
      </c>
      <c r="G10" s="9">
        <v>1518.34827</v>
      </c>
      <c r="H10" s="9">
        <v>1285.808869</v>
      </c>
      <c r="I10" s="20">
        <f t="shared" si="2"/>
        <v>0.11204452683266743</v>
      </c>
      <c r="J10" s="37"/>
      <c r="K10" s="38"/>
      <c r="L10" s="22"/>
      <c r="M10" s="22"/>
      <c r="N10" s="22"/>
      <c r="O10" s="22"/>
      <c r="P10" s="22"/>
      <c r="Q10" s="22"/>
      <c r="R10" s="22"/>
      <c r="S10" s="22"/>
      <c r="T10" s="22"/>
      <c r="U10" s="39"/>
      <c r="V10" s="37"/>
      <c r="W10" s="38"/>
      <c r="X10" s="22"/>
      <c r="Y10" s="22"/>
      <c r="Z10" s="22"/>
      <c r="AA10" s="22"/>
      <c r="AB10" s="22"/>
      <c r="AC10" s="22"/>
      <c r="AD10" s="22"/>
      <c r="AE10" s="22"/>
      <c r="AF10" s="22"/>
      <c r="AG10" s="39"/>
      <c r="AH10" s="37"/>
      <c r="AI10" s="38"/>
      <c r="AJ10" s="22"/>
      <c r="AK10" s="22"/>
      <c r="AL10" s="22"/>
      <c r="AM10" s="22"/>
      <c r="AN10" s="22"/>
      <c r="AO10" s="22"/>
      <c r="AP10" s="22"/>
      <c r="AQ10" s="22"/>
      <c r="AR10" s="22"/>
      <c r="AS10" s="39"/>
      <c r="AT10" s="37"/>
      <c r="AU10" s="38"/>
      <c r="AV10" s="22"/>
      <c r="AW10" s="22"/>
      <c r="AX10" s="22"/>
      <c r="AY10" s="22"/>
      <c r="AZ10" s="22"/>
      <c r="BA10" s="22"/>
      <c r="BB10" s="22"/>
      <c r="BC10" s="22"/>
      <c r="BD10" s="22"/>
      <c r="BE10" s="39"/>
      <c r="BF10" s="37"/>
      <c r="BG10" s="38"/>
      <c r="BH10" s="22"/>
      <c r="BI10" s="22"/>
      <c r="BJ10" s="22"/>
      <c r="BK10" s="22"/>
      <c r="BL10" s="22"/>
      <c r="BM10" s="22"/>
      <c r="BN10" s="22"/>
      <c r="BO10" s="22"/>
      <c r="BP10" s="22"/>
      <c r="BQ10" s="39"/>
      <c r="BR10" s="37"/>
      <c r="BS10" s="38"/>
      <c r="BT10" s="22"/>
      <c r="BU10" s="22"/>
      <c r="BV10" s="22"/>
      <c r="BW10" s="22"/>
      <c r="BX10" s="22"/>
      <c r="BY10" s="22"/>
      <c r="BZ10" s="22"/>
      <c r="CA10" s="22"/>
      <c r="CB10" s="22"/>
      <c r="CC10" s="39"/>
      <c r="CD10" s="37"/>
      <c r="CE10" s="38"/>
      <c r="CF10" s="22"/>
      <c r="CG10" s="22"/>
      <c r="CH10" s="22"/>
      <c r="CI10" s="22"/>
      <c r="CJ10" s="22"/>
      <c r="CK10" s="22"/>
      <c r="CL10" s="22"/>
      <c r="CM10" s="22"/>
      <c r="CN10" s="22"/>
      <c r="CO10" s="39"/>
      <c r="CP10" s="37"/>
      <c r="CQ10" s="38"/>
      <c r="CR10" s="22"/>
      <c r="CS10" s="22"/>
      <c r="CT10" s="22"/>
      <c r="CU10" s="22"/>
      <c r="CV10" s="22"/>
      <c r="CW10" s="22"/>
      <c r="CX10" s="22"/>
      <c r="CY10" s="22"/>
      <c r="CZ10" s="22"/>
      <c r="DA10" s="39"/>
      <c r="DB10" s="37"/>
      <c r="DC10" s="38"/>
      <c r="DD10" s="22"/>
      <c r="DE10" s="22"/>
      <c r="DF10" s="22"/>
      <c r="DG10" s="22"/>
      <c r="DH10" s="22"/>
      <c r="DI10" s="22"/>
      <c r="DJ10" s="22"/>
      <c r="DK10" s="22"/>
      <c r="DL10" s="22"/>
      <c r="DM10" s="39"/>
      <c r="DN10" s="37"/>
      <c r="DO10" s="38"/>
      <c r="DP10" s="22"/>
      <c r="DQ10" s="22"/>
      <c r="DR10" s="22"/>
      <c r="DS10" s="22"/>
      <c r="DT10" s="22"/>
      <c r="DU10" s="22"/>
      <c r="DV10" s="22"/>
      <c r="DW10" s="22"/>
      <c r="DX10" s="22"/>
      <c r="DY10" s="39"/>
      <c r="DZ10" s="37"/>
      <c r="EA10" s="38"/>
      <c r="EB10" s="22"/>
      <c r="EC10" s="22"/>
      <c r="ED10" s="22"/>
      <c r="EE10" s="22"/>
      <c r="EF10" s="22"/>
      <c r="EG10" s="22"/>
      <c r="EH10" s="22"/>
      <c r="EI10" s="22"/>
      <c r="EJ10" s="22"/>
      <c r="EK10" s="39"/>
      <c r="EL10" s="37"/>
      <c r="EM10" s="38"/>
      <c r="EN10" s="22"/>
      <c r="EO10" s="22"/>
      <c r="EP10" s="22"/>
      <c r="EQ10" s="22"/>
      <c r="ER10" s="22"/>
      <c r="ES10" s="22"/>
      <c r="ET10" s="22"/>
      <c r="EU10" s="22"/>
      <c r="EV10" s="22"/>
      <c r="EW10" s="39"/>
      <c r="EX10" s="37"/>
      <c r="EY10" s="38"/>
      <c r="EZ10" s="22"/>
      <c r="FA10" s="22"/>
      <c r="FB10" s="22"/>
      <c r="FC10" s="22"/>
      <c r="FD10" s="22"/>
      <c r="FE10" s="22"/>
      <c r="FF10" s="22"/>
      <c r="FG10" s="22"/>
      <c r="FH10" s="22"/>
      <c r="FI10" s="39"/>
    </row>
    <row r="11" spans="1:165" ht="33" customHeight="1" x14ac:dyDescent="0.45">
      <c r="B11" s="12" t="s">
        <v>2</v>
      </c>
      <c r="C11" s="16" t="s">
        <v>24</v>
      </c>
      <c r="D11" s="21">
        <v>15.195</v>
      </c>
      <c r="E11" s="22">
        <v>0.59070732800410519</v>
      </c>
      <c r="F11" s="22">
        <v>0.63282037249019918</v>
      </c>
      <c r="G11" s="9">
        <v>1518.34827</v>
      </c>
      <c r="H11" s="9">
        <v>1285.808869</v>
      </c>
      <c r="I11" s="20">
        <f t="shared" si="2"/>
        <v>0.11204452683266743</v>
      </c>
      <c r="J11" s="37"/>
      <c r="K11" s="38"/>
      <c r="L11" s="22"/>
      <c r="M11" s="22"/>
      <c r="N11" s="22"/>
      <c r="O11" s="22"/>
      <c r="P11" s="22"/>
      <c r="Q11" s="22"/>
      <c r="R11" s="22"/>
      <c r="S11" s="22"/>
      <c r="T11" s="22"/>
      <c r="U11" s="39"/>
      <c r="V11" s="37"/>
      <c r="W11" s="38"/>
      <c r="X11" s="22"/>
      <c r="Y11" s="22"/>
      <c r="Z11" s="22"/>
      <c r="AA11" s="22"/>
      <c r="AB11" s="22"/>
      <c r="AC11" s="22"/>
      <c r="AD11" s="22"/>
      <c r="AE11" s="22"/>
      <c r="AF11" s="22"/>
      <c r="AG11" s="39"/>
      <c r="AH11" s="37"/>
      <c r="AI11" s="38"/>
      <c r="AJ11" s="22"/>
      <c r="AK11" s="22"/>
      <c r="AL11" s="22"/>
      <c r="AM11" s="22"/>
      <c r="AN11" s="22"/>
      <c r="AO11" s="22"/>
      <c r="AP11" s="22"/>
      <c r="AQ11" s="22"/>
      <c r="AR11" s="22"/>
      <c r="AS11" s="39"/>
      <c r="AT11" s="37"/>
      <c r="AU11" s="38"/>
      <c r="AV11" s="22"/>
      <c r="AW11" s="22"/>
      <c r="AX11" s="22"/>
      <c r="AY11" s="22"/>
      <c r="AZ11" s="22"/>
      <c r="BA11" s="22"/>
      <c r="BB11" s="22"/>
      <c r="BC11" s="22"/>
      <c r="BD11" s="22"/>
      <c r="BE11" s="39"/>
      <c r="BF11" s="37"/>
      <c r="BG11" s="38"/>
      <c r="BH11" s="22"/>
      <c r="BI11" s="22"/>
      <c r="BJ11" s="22"/>
      <c r="BK11" s="22"/>
      <c r="BL11" s="22"/>
      <c r="BM11" s="22"/>
      <c r="BN11" s="22"/>
      <c r="BO11" s="22"/>
      <c r="BP11" s="22"/>
      <c r="BQ11" s="39"/>
      <c r="BR11" s="37"/>
      <c r="BS11" s="38"/>
      <c r="BT11" s="22"/>
      <c r="BU11" s="22"/>
      <c r="BV11" s="22"/>
      <c r="BW11" s="22"/>
      <c r="BX11" s="22"/>
      <c r="BY11" s="22"/>
      <c r="BZ11" s="22"/>
      <c r="CA11" s="22"/>
      <c r="CB11" s="22"/>
      <c r="CC11" s="39"/>
      <c r="CD11" s="37"/>
      <c r="CE11" s="38"/>
      <c r="CF11" s="22"/>
      <c r="CG11" s="22"/>
      <c r="CH11" s="22"/>
      <c r="CI11" s="22"/>
      <c r="CJ11" s="22"/>
      <c r="CK11" s="22"/>
      <c r="CL11" s="22"/>
      <c r="CM11" s="22"/>
      <c r="CN11" s="22"/>
      <c r="CO11" s="39"/>
      <c r="CP11" s="37"/>
      <c r="CQ11" s="38"/>
      <c r="CR11" s="22"/>
      <c r="CS11" s="22"/>
      <c r="CT11" s="22"/>
      <c r="CU11" s="22"/>
      <c r="CV11" s="22"/>
      <c r="CW11" s="22"/>
      <c r="CX11" s="22"/>
      <c r="CY11" s="22"/>
      <c r="CZ11" s="22"/>
      <c r="DA11" s="39"/>
      <c r="DB11" s="37"/>
      <c r="DC11" s="38"/>
      <c r="DD11" s="22"/>
      <c r="DE11" s="22"/>
      <c r="DF11" s="22"/>
      <c r="DG11" s="22"/>
      <c r="DH11" s="22"/>
      <c r="DI11" s="22"/>
      <c r="DJ11" s="22"/>
      <c r="DK11" s="22"/>
      <c r="DL11" s="22"/>
      <c r="DM11" s="39"/>
      <c r="DN11" s="37"/>
      <c r="DO11" s="38"/>
      <c r="DP11" s="22"/>
      <c r="DQ11" s="22"/>
      <c r="DR11" s="22"/>
      <c r="DS11" s="22"/>
      <c r="DT11" s="22"/>
      <c r="DU11" s="22"/>
      <c r="DV11" s="22"/>
      <c r="DW11" s="22"/>
      <c r="DX11" s="22"/>
      <c r="DY11" s="39"/>
      <c r="DZ11" s="37"/>
      <c r="EA11" s="38"/>
      <c r="EB11" s="22"/>
      <c r="EC11" s="22"/>
      <c r="ED11" s="22"/>
      <c r="EE11" s="22"/>
      <c r="EF11" s="22"/>
      <c r="EG11" s="22"/>
      <c r="EH11" s="22"/>
      <c r="EI11" s="22"/>
      <c r="EJ11" s="22"/>
      <c r="EK11" s="39"/>
      <c r="EL11" s="37"/>
      <c r="EM11" s="38"/>
      <c r="EN11" s="22"/>
      <c r="EO11" s="22"/>
      <c r="EP11" s="22"/>
      <c r="EQ11" s="22"/>
      <c r="ER11" s="22"/>
      <c r="ES11" s="22"/>
      <c r="ET11" s="22"/>
      <c r="EU11" s="22"/>
      <c r="EV11" s="22"/>
      <c r="EW11" s="39"/>
      <c r="EX11" s="37"/>
      <c r="EY11" s="38"/>
      <c r="EZ11" s="22"/>
      <c r="FA11" s="22"/>
      <c r="FB11" s="22"/>
      <c r="FC11" s="22"/>
      <c r="FD11" s="22"/>
      <c r="FE11" s="22"/>
      <c r="FF11" s="22"/>
      <c r="FG11" s="22"/>
      <c r="FH11" s="22"/>
      <c r="FI11" s="39"/>
    </row>
    <row r="12" spans="1:165" ht="65.55" customHeight="1" x14ac:dyDescent="0.45">
      <c r="B12" s="12" t="s">
        <v>32</v>
      </c>
      <c r="C12" s="16" t="s">
        <v>37</v>
      </c>
      <c r="D12" s="21">
        <v>2.6736</v>
      </c>
      <c r="E12" s="10">
        <f t="shared" si="0"/>
        <v>1</v>
      </c>
      <c r="F12" s="10">
        <f t="shared" si="1"/>
        <v>1</v>
      </c>
      <c r="G12" s="9"/>
      <c r="H12" s="9"/>
      <c r="I12" s="20"/>
      <c r="J12" s="37"/>
      <c r="K12" s="38"/>
      <c r="L12" s="22"/>
      <c r="M12" s="22"/>
      <c r="N12" s="22"/>
      <c r="O12" s="22"/>
      <c r="P12" s="22"/>
      <c r="Q12" s="22"/>
      <c r="R12" s="22"/>
      <c r="S12" s="22"/>
      <c r="T12" s="22"/>
      <c r="U12" s="39"/>
      <c r="V12" s="37"/>
      <c r="W12" s="38"/>
      <c r="X12" s="22"/>
      <c r="Y12" s="22"/>
      <c r="Z12" s="22"/>
      <c r="AA12" s="22"/>
      <c r="AB12" s="22"/>
      <c r="AC12" s="22"/>
      <c r="AD12" s="22"/>
      <c r="AE12" s="22"/>
      <c r="AF12" s="22"/>
      <c r="AG12" s="39"/>
      <c r="AH12" s="37"/>
      <c r="AI12" s="38"/>
      <c r="AJ12" s="22"/>
      <c r="AK12" s="22"/>
      <c r="AL12" s="22"/>
      <c r="AM12" s="22"/>
      <c r="AN12" s="22"/>
      <c r="AO12" s="22"/>
      <c r="AP12" s="22"/>
      <c r="AQ12" s="22"/>
      <c r="AR12" s="22"/>
      <c r="AS12" s="39"/>
      <c r="AT12" s="37"/>
      <c r="AU12" s="38"/>
      <c r="AV12" s="22"/>
      <c r="AW12" s="22"/>
      <c r="AX12" s="22"/>
      <c r="AY12" s="22"/>
      <c r="AZ12" s="22"/>
      <c r="BA12" s="22"/>
      <c r="BB12" s="22"/>
      <c r="BC12" s="22"/>
      <c r="BD12" s="22"/>
      <c r="BE12" s="39"/>
      <c r="BF12" s="37"/>
      <c r="BG12" s="38"/>
      <c r="BH12" s="22"/>
      <c r="BI12" s="22"/>
      <c r="BJ12" s="22"/>
      <c r="BK12" s="22"/>
      <c r="BL12" s="22"/>
      <c r="BM12" s="22"/>
      <c r="BN12" s="22"/>
      <c r="BO12" s="22"/>
      <c r="BP12" s="22"/>
      <c r="BQ12" s="39"/>
      <c r="BR12" s="37"/>
      <c r="BS12" s="38"/>
      <c r="BT12" s="22"/>
      <c r="BU12" s="22"/>
      <c r="BV12" s="22"/>
      <c r="BW12" s="22"/>
      <c r="BX12" s="22"/>
      <c r="BY12" s="22"/>
      <c r="BZ12" s="22"/>
      <c r="CA12" s="22"/>
      <c r="CB12" s="22"/>
      <c r="CC12" s="39"/>
      <c r="CD12" s="37"/>
      <c r="CE12" s="38"/>
      <c r="CF12" s="22"/>
      <c r="CG12" s="22"/>
      <c r="CH12" s="22"/>
      <c r="CI12" s="22"/>
      <c r="CJ12" s="22"/>
      <c r="CK12" s="22"/>
      <c r="CL12" s="22"/>
      <c r="CM12" s="22"/>
      <c r="CN12" s="22"/>
      <c r="CO12" s="39"/>
      <c r="CP12" s="37"/>
      <c r="CQ12" s="38"/>
      <c r="CR12" s="22"/>
      <c r="CS12" s="22"/>
      <c r="CT12" s="22"/>
      <c r="CU12" s="22"/>
      <c r="CV12" s="22"/>
      <c r="CW12" s="22"/>
      <c r="CX12" s="22"/>
      <c r="CY12" s="22"/>
      <c r="CZ12" s="22"/>
      <c r="DA12" s="39"/>
      <c r="DB12" s="37"/>
      <c r="DC12" s="38"/>
      <c r="DD12" s="22"/>
      <c r="DE12" s="22"/>
      <c r="DF12" s="22"/>
      <c r="DG12" s="22"/>
      <c r="DH12" s="22"/>
      <c r="DI12" s="22"/>
      <c r="DJ12" s="22"/>
      <c r="DK12" s="22"/>
      <c r="DL12" s="22"/>
      <c r="DM12" s="39"/>
      <c r="DN12" s="37"/>
      <c r="DO12" s="38"/>
      <c r="DP12" s="22"/>
      <c r="DQ12" s="22"/>
      <c r="DR12" s="22"/>
      <c r="DS12" s="22"/>
      <c r="DT12" s="22"/>
      <c r="DU12" s="22"/>
      <c r="DV12" s="22"/>
      <c r="DW12" s="22"/>
      <c r="DX12" s="22"/>
      <c r="DY12" s="39"/>
      <c r="DZ12" s="37"/>
      <c r="EA12" s="38"/>
      <c r="EB12" s="22"/>
      <c r="EC12" s="22"/>
      <c r="ED12" s="22"/>
      <c r="EE12" s="22"/>
      <c r="EF12" s="22"/>
      <c r="EG12" s="22"/>
      <c r="EH12" s="22"/>
      <c r="EI12" s="22"/>
      <c r="EJ12" s="22"/>
      <c r="EK12" s="39"/>
      <c r="EL12" s="37"/>
      <c r="EM12" s="38"/>
      <c r="EN12" s="22"/>
      <c r="EO12" s="22"/>
      <c r="EP12" s="22"/>
      <c r="EQ12" s="22"/>
      <c r="ER12" s="22"/>
      <c r="ES12" s="22"/>
      <c r="ET12" s="22"/>
      <c r="EU12" s="22"/>
      <c r="EV12" s="22"/>
      <c r="EW12" s="39"/>
      <c r="EX12" s="37"/>
      <c r="EY12" s="38"/>
      <c r="EZ12" s="22"/>
      <c r="FA12" s="22"/>
      <c r="FB12" s="22"/>
      <c r="FC12" s="22"/>
      <c r="FD12" s="22"/>
      <c r="FE12" s="22"/>
      <c r="FF12" s="22"/>
      <c r="FG12" s="22"/>
      <c r="FH12" s="22"/>
      <c r="FI12" s="39"/>
    </row>
    <row r="13" spans="1:165" ht="55.35" customHeight="1" x14ac:dyDescent="0.45">
      <c r="B13" s="12" t="s">
        <v>33</v>
      </c>
      <c r="C13" s="16" t="s">
        <v>34</v>
      </c>
      <c r="D13" s="21">
        <v>2.56</v>
      </c>
      <c r="E13" s="10">
        <f t="shared" si="0"/>
        <v>1</v>
      </c>
      <c r="F13" s="10">
        <f t="shared" si="1"/>
        <v>1</v>
      </c>
      <c r="G13" s="9"/>
      <c r="H13" s="9"/>
      <c r="I13" s="20"/>
      <c r="J13" s="37"/>
      <c r="K13" s="38"/>
      <c r="L13" s="22"/>
      <c r="M13" s="22"/>
      <c r="N13" s="22"/>
      <c r="O13" s="22"/>
      <c r="P13" s="22"/>
      <c r="Q13" s="22"/>
      <c r="R13" s="22"/>
      <c r="S13" s="22"/>
      <c r="T13" s="22"/>
      <c r="U13" s="39"/>
      <c r="V13" s="37"/>
      <c r="W13" s="38"/>
      <c r="X13" s="22"/>
      <c r="Y13" s="22"/>
      <c r="Z13" s="22"/>
      <c r="AA13" s="22"/>
      <c r="AB13" s="22"/>
      <c r="AC13" s="22"/>
      <c r="AD13" s="22"/>
      <c r="AE13" s="22"/>
      <c r="AF13" s="22"/>
      <c r="AG13" s="39"/>
      <c r="AH13" s="37"/>
      <c r="AI13" s="38"/>
      <c r="AJ13" s="22"/>
      <c r="AK13" s="22"/>
      <c r="AL13" s="22"/>
      <c r="AM13" s="22"/>
      <c r="AN13" s="22"/>
      <c r="AO13" s="22"/>
      <c r="AP13" s="22"/>
      <c r="AQ13" s="22"/>
      <c r="AR13" s="22"/>
      <c r="AS13" s="39"/>
      <c r="AT13" s="37"/>
      <c r="AU13" s="38"/>
      <c r="AV13" s="22"/>
      <c r="AW13" s="22"/>
      <c r="AX13" s="22"/>
      <c r="AY13" s="22"/>
      <c r="AZ13" s="22"/>
      <c r="BA13" s="22"/>
      <c r="BB13" s="22"/>
      <c r="BC13" s="22"/>
      <c r="BD13" s="22"/>
      <c r="BE13" s="39"/>
      <c r="BF13" s="37"/>
      <c r="BG13" s="38"/>
      <c r="BH13" s="22"/>
      <c r="BI13" s="22"/>
      <c r="BJ13" s="22"/>
      <c r="BK13" s="22"/>
      <c r="BL13" s="22"/>
      <c r="BM13" s="22"/>
      <c r="BN13" s="22"/>
      <c r="BO13" s="22"/>
      <c r="BP13" s="22"/>
      <c r="BQ13" s="39"/>
      <c r="BR13" s="37"/>
      <c r="BS13" s="38"/>
      <c r="BT13" s="22"/>
      <c r="BU13" s="22"/>
      <c r="BV13" s="22"/>
      <c r="BW13" s="22"/>
      <c r="BX13" s="22"/>
      <c r="BY13" s="22"/>
      <c r="BZ13" s="22"/>
      <c r="CA13" s="22"/>
      <c r="CB13" s="22"/>
      <c r="CC13" s="39"/>
      <c r="CD13" s="37"/>
      <c r="CE13" s="38"/>
      <c r="CF13" s="22"/>
      <c r="CG13" s="22"/>
      <c r="CH13" s="22"/>
      <c r="CI13" s="22"/>
      <c r="CJ13" s="22"/>
      <c r="CK13" s="22"/>
      <c r="CL13" s="22"/>
      <c r="CM13" s="22"/>
      <c r="CN13" s="22"/>
      <c r="CO13" s="39"/>
      <c r="CP13" s="37"/>
      <c r="CQ13" s="38"/>
      <c r="CR13" s="22"/>
      <c r="CS13" s="22"/>
      <c r="CT13" s="22"/>
      <c r="CU13" s="22"/>
      <c r="CV13" s="22"/>
      <c r="CW13" s="22"/>
      <c r="CX13" s="22"/>
      <c r="CY13" s="22"/>
      <c r="CZ13" s="22"/>
      <c r="DA13" s="39"/>
      <c r="DB13" s="37"/>
      <c r="DC13" s="38"/>
      <c r="DD13" s="22"/>
      <c r="DE13" s="22"/>
      <c r="DF13" s="22"/>
      <c r="DG13" s="22"/>
      <c r="DH13" s="22"/>
      <c r="DI13" s="22"/>
      <c r="DJ13" s="22"/>
      <c r="DK13" s="22"/>
      <c r="DL13" s="22"/>
      <c r="DM13" s="39"/>
      <c r="DN13" s="37"/>
      <c r="DO13" s="38"/>
      <c r="DP13" s="22"/>
      <c r="DQ13" s="22"/>
      <c r="DR13" s="22"/>
      <c r="DS13" s="22"/>
      <c r="DT13" s="22"/>
      <c r="DU13" s="22"/>
      <c r="DV13" s="22"/>
      <c r="DW13" s="22"/>
      <c r="DX13" s="22"/>
      <c r="DY13" s="39"/>
      <c r="DZ13" s="37"/>
      <c r="EA13" s="38"/>
      <c r="EB13" s="22"/>
      <c r="EC13" s="22"/>
      <c r="ED13" s="22"/>
      <c r="EE13" s="22"/>
      <c r="EF13" s="22"/>
      <c r="EG13" s="22"/>
      <c r="EH13" s="22"/>
      <c r="EI13" s="22"/>
      <c r="EJ13" s="22"/>
      <c r="EK13" s="39"/>
      <c r="EL13" s="37"/>
      <c r="EM13" s="38"/>
      <c r="EN13" s="22"/>
      <c r="EO13" s="22"/>
      <c r="EP13" s="22"/>
      <c r="EQ13" s="22"/>
      <c r="ER13" s="22"/>
      <c r="ES13" s="22"/>
      <c r="ET13" s="22"/>
      <c r="EU13" s="22"/>
      <c r="EV13" s="22"/>
      <c r="EW13" s="39"/>
      <c r="EX13" s="37"/>
      <c r="EY13" s="38"/>
      <c r="EZ13" s="22"/>
      <c r="FA13" s="22"/>
      <c r="FB13" s="22"/>
      <c r="FC13" s="22"/>
      <c r="FD13" s="22"/>
      <c r="FE13" s="22"/>
      <c r="FF13" s="22"/>
      <c r="FG13" s="22"/>
      <c r="FH13" s="22"/>
      <c r="FI13" s="39"/>
    </row>
    <row r="14" spans="1:165" x14ac:dyDescent="0.45">
      <c r="B14" s="45" t="s">
        <v>65</v>
      </c>
      <c r="C14" s="46"/>
      <c r="D14" s="47"/>
      <c r="E14" s="48"/>
      <c r="F14" s="48"/>
      <c r="G14" s="49"/>
      <c r="H14" s="49"/>
      <c r="I14" s="50"/>
      <c r="J14" s="37"/>
      <c r="K14" s="38"/>
      <c r="L14" s="22"/>
      <c r="M14" s="22"/>
      <c r="N14" s="22"/>
      <c r="O14" s="22"/>
      <c r="P14" s="22"/>
      <c r="Q14" s="22"/>
      <c r="R14" s="22"/>
      <c r="S14" s="22"/>
      <c r="T14" s="22"/>
      <c r="U14" s="39"/>
      <c r="V14" s="37"/>
      <c r="W14" s="38"/>
      <c r="X14" s="22"/>
      <c r="Y14" s="22"/>
      <c r="Z14" s="22"/>
      <c r="AA14" s="22"/>
      <c r="AB14" s="22"/>
      <c r="AC14" s="22"/>
      <c r="AD14" s="22"/>
      <c r="AE14" s="22"/>
      <c r="AF14" s="22"/>
      <c r="AG14" s="39"/>
      <c r="AH14" s="37"/>
      <c r="AI14" s="38"/>
      <c r="AJ14" s="22"/>
      <c r="AK14" s="22"/>
      <c r="AL14" s="22"/>
      <c r="AM14" s="22"/>
      <c r="AN14" s="22"/>
      <c r="AO14" s="22"/>
      <c r="AP14" s="22"/>
      <c r="AQ14" s="22"/>
      <c r="AR14" s="22"/>
      <c r="AS14" s="39"/>
      <c r="AT14" s="37"/>
      <c r="AU14" s="38"/>
      <c r="AV14" s="22"/>
      <c r="AW14" s="22"/>
      <c r="AX14" s="22"/>
      <c r="AY14" s="22"/>
      <c r="AZ14" s="22"/>
      <c r="BA14" s="22"/>
      <c r="BB14" s="22"/>
      <c r="BC14" s="22"/>
      <c r="BD14" s="22"/>
      <c r="BE14" s="39"/>
      <c r="BF14" s="37"/>
      <c r="BG14" s="38"/>
      <c r="BH14" s="22"/>
      <c r="BI14" s="22"/>
      <c r="BJ14" s="22"/>
      <c r="BK14" s="22"/>
      <c r="BL14" s="22"/>
      <c r="BM14" s="22"/>
      <c r="BN14" s="22"/>
      <c r="BO14" s="22"/>
      <c r="BP14" s="22"/>
      <c r="BQ14" s="39"/>
      <c r="BR14" s="37"/>
      <c r="BS14" s="38"/>
      <c r="BT14" s="22"/>
      <c r="BU14" s="22"/>
      <c r="BV14" s="22"/>
      <c r="BW14" s="22"/>
      <c r="BX14" s="22"/>
      <c r="BY14" s="22"/>
      <c r="BZ14" s="22"/>
      <c r="CA14" s="22"/>
      <c r="CB14" s="22"/>
      <c r="CC14" s="39"/>
      <c r="CD14" s="37"/>
      <c r="CE14" s="38"/>
      <c r="CF14" s="22"/>
      <c r="CG14" s="22"/>
      <c r="CH14" s="22"/>
      <c r="CI14" s="22"/>
      <c r="CJ14" s="22"/>
      <c r="CK14" s="22"/>
      <c r="CL14" s="22"/>
      <c r="CM14" s="22"/>
      <c r="CN14" s="22"/>
      <c r="CO14" s="39"/>
      <c r="CP14" s="37"/>
      <c r="CQ14" s="38"/>
      <c r="CR14" s="22"/>
      <c r="CS14" s="22"/>
      <c r="CT14" s="22"/>
      <c r="CU14" s="22"/>
      <c r="CV14" s="22"/>
      <c r="CW14" s="22"/>
      <c r="CX14" s="22"/>
      <c r="CY14" s="22"/>
      <c r="CZ14" s="22"/>
      <c r="DA14" s="39"/>
      <c r="DB14" s="37"/>
      <c r="DC14" s="38"/>
      <c r="DD14" s="22"/>
      <c r="DE14" s="22"/>
      <c r="DF14" s="22"/>
      <c r="DG14" s="22"/>
      <c r="DH14" s="22"/>
      <c r="DI14" s="22"/>
      <c r="DJ14" s="22"/>
      <c r="DK14" s="22"/>
      <c r="DL14" s="22"/>
      <c r="DM14" s="39"/>
      <c r="DN14" s="37"/>
      <c r="DO14" s="38"/>
      <c r="DP14" s="22"/>
      <c r="DQ14" s="22"/>
      <c r="DR14" s="22"/>
      <c r="DS14" s="22"/>
      <c r="DT14" s="22"/>
      <c r="DU14" s="22"/>
      <c r="DV14" s="22"/>
      <c r="DW14" s="22"/>
      <c r="DX14" s="22"/>
      <c r="DY14" s="39"/>
      <c r="DZ14" s="37"/>
      <c r="EA14" s="38"/>
      <c r="EB14" s="22"/>
      <c r="EC14" s="22"/>
      <c r="ED14" s="22"/>
      <c r="EE14" s="22"/>
      <c r="EF14" s="22"/>
      <c r="EG14" s="22"/>
      <c r="EH14" s="22"/>
      <c r="EI14" s="22"/>
      <c r="EJ14" s="22"/>
      <c r="EK14" s="39"/>
      <c r="EL14" s="37"/>
      <c r="EM14" s="38"/>
      <c r="EN14" s="22"/>
      <c r="EO14" s="22"/>
      <c r="EP14" s="22"/>
      <c r="EQ14" s="22"/>
      <c r="ER14" s="22"/>
      <c r="ES14" s="22"/>
      <c r="ET14" s="22"/>
      <c r="EU14" s="22"/>
      <c r="EV14" s="22"/>
      <c r="EW14" s="39"/>
      <c r="EX14" s="37"/>
      <c r="EY14" s="38"/>
      <c r="EZ14" s="22"/>
      <c r="FA14" s="22"/>
      <c r="FB14" s="22"/>
      <c r="FC14" s="22"/>
      <c r="FD14" s="22"/>
      <c r="FE14" s="22"/>
      <c r="FF14" s="22"/>
      <c r="FG14" s="22"/>
      <c r="FH14" s="22"/>
      <c r="FI14" s="39"/>
    </row>
    <row r="15" spans="1:165" s="26" customFormat="1" x14ac:dyDescent="0.45">
      <c r="A15" s="1"/>
      <c r="B15" s="23"/>
      <c r="C15" s="24" t="s">
        <v>27</v>
      </c>
      <c r="D15" s="24"/>
      <c r="E15" s="24"/>
      <c r="F15" s="24"/>
      <c r="G15" s="24"/>
      <c r="H15" s="24"/>
      <c r="I15" s="25"/>
      <c r="J15" s="40"/>
      <c r="K15" s="41"/>
      <c r="L15" s="42"/>
      <c r="M15" s="42"/>
      <c r="N15" s="42"/>
      <c r="O15" s="42"/>
      <c r="P15" s="42"/>
      <c r="Q15" s="42"/>
      <c r="R15" s="42"/>
      <c r="S15" s="43"/>
      <c r="T15" s="43"/>
      <c r="U15" s="44"/>
      <c r="V15" s="40"/>
      <c r="W15" s="41"/>
      <c r="X15" s="42"/>
      <c r="Y15" s="42"/>
      <c r="Z15" s="42"/>
      <c r="AA15" s="42"/>
      <c r="AB15" s="42"/>
      <c r="AC15" s="42"/>
      <c r="AD15" s="42"/>
      <c r="AE15" s="43"/>
      <c r="AF15" s="43"/>
      <c r="AG15" s="44"/>
      <c r="AH15" s="40"/>
      <c r="AI15" s="41"/>
      <c r="AJ15" s="42"/>
      <c r="AK15" s="42"/>
      <c r="AL15" s="42"/>
      <c r="AM15" s="42"/>
      <c r="AN15" s="42"/>
      <c r="AO15" s="42"/>
      <c r="AP15" s="42"/>
      <c r="AQ15" s="43"/>
      <c r="AR15" s="43"/>
      <c r="AS15" s="44"/>
      <c r="AT15" s="40"/>
      <c r="AU15" s="41"/>
      <c r="AV15" s="42"/>
      <c r="AW15" s="42"/>
      <c r="AX15" s="42"/>
      <c r="AY15" s="42"/>
      <c r="AZ15" s="42"/>
      <c r="BA15" s="42"/>
      <c r="BB15" s="42"/>
      <c r="BC15" s="43"/>
      <c r="BD15" s="43"/>
      <c r="BE15" s="44"/>
      <c r="BF15" s="40"/>
      <c r="BG15" s="41"/>
      <c r="BH15" s="42"/>
      <c r="BI15" s="42"/>
      <c r="BJ15" s="42"/>
      <c r="BK15" s="42"/>
      <c r="BL15" s="42"/>
      <c r="BM15" s="42"/>
      <c r="BN15" s="42"/>
      <c r="BO15" s="43"/>
      <c r="BP15" s="43"/>
      <c r="BQ15" s="44"/>
      <c r="BR15" s="40"/>
      <c r="BS15" s="41"/>
      <c r="BT15" s="42"/>
      <c r="BU15" s="42"/>
      <c r="BV15" s="42"/>
      <c r="BW15" s="42"/>
      <c r="BX15" s="42"/>
      <c r="BY15" s="42"/>
      <c r="BZ15" s="42"/>
      <c r="CA15" s="43"/>
      <c r="CB15" s="43"/>
      <c r="CC15" s="44"/>
      <c r="CD15" s="40"/>
      <c r="CE15" s="41"/>
      <c r="CF15" s="42"/>
      <c r="CG15" s="42"/>
      <c r="CH15" s="42"/>
      <c r="CI15" s="42"/>
      <c r="CJ15" s="42"/>
      <c r="CK15" s="42"/>
      <c r="CL15" s="42"/>
      <c r="CM15" s="43"/>
      <c r="CN15" s="43"/>
      <c r="CO15" s="44"/>
      <c r="CP15" s="40"/>
      <c r="CQ15" s="41"/>
      <c r="CR15" s="42"/>
      <c r="CS15" s="42"/>
      <c r="CT15" s="42"/>
      <c r="CU15" s="42"/>
      <c r="CV15" s="42"/>
      <c r="CW15" s="42"/>
      <c r="CX15" s="42"/>
      <c r="CY15" s="43"/>
      <c r="CZ15" s="43"/>
      <c r="DA15" s="44"/>
      <c r="DB15" s="40"/>
      <c r="DC15" s="41"/>
      <c r="DD15" s="42"/>
      <c r="DE15" s="42"/>
      <c r="DF15" s="42"/>
      <c r="DG15" s="42"/>
      <c r="DH15" s="42"/>
      <c r="DI15" s="42"/>
      <c r="DJ15" s="42"/>
      <c r="DK15" s="43"/>
      <c r="DL15" s="43"/>
      <c r="DM15" s="44"/>
      <c r="DN15" s="40"/>
      <c r="DO15" s="41"/>
      <c r="DP15" s="42"/>
      <c r="DQ15" s="42"/>
      <c r="DR15" s="42"/>
      <c r="DS15" s="42"/>
      <c r="DT15" s="42"/>
      <c r="DU15" s="42"/>
      <c r="DV15" s="42"/>
      <c r="DW15" s="43"/>
      <c r="DX15" s="43"/>
      <c r="DY15" s="44"/>
      <c r="DZ15" s="40"/>
      <c r="EA15" s="41"/>
      <c r="EB15" s="42"/>
      <c r="EC15" s="42"/>
      <c r="ED15" s="42"/>
      <c r="EE15" s="42"/>
      <c r="EF15" s="42"/>
      <c r="EG15" s="42"/>
      <c r="EH15" s="42"/>
      <c r="EI15" s="43"/>
      <c r="EJ15" s="43"/>
      <c r="EK15" s="44"/>
      <c r="EL15" s="40"/>
      <c r="EM15" s="41"/>
      <c r="EN15" s="42"/>
      <c r="EO15" s="42"/>
      <c r="EP15" s="42"/>
      <c r="EQ15" s="42"/>
      <c r="ER15" s="42"/>
      <c r="ES15" s="42"/>
      <c r="ET15" s="42"/>
      <c r="EU15" s="43"/>
      <c r="EV15" s="43"/>
      <c r="EW15" s="44"/>
      <c r="EX15" s="40"/>
      <c r="EY15" s="41"/>
      <c r="EZ15" s="42"/>
      <c r="FA15" s="42"/>
      <c r="FB15" s="42"/>
      <c r="FC15" s="42"/>
      <c r="FD15" s="42"/>
      <c r="FE15" s="42"/>
      <c r="FF15" s="42"/>
      <c r="FG15" s="43"/>
      <c r="FH15" s="43"/>
      <c r="FI15" s="44"/>
    </row>
    <row r="16" spans="1:165" s="26" customFormat="1" ht="30.75" x14ac:dyDescent="0.45">
      <c r="A16" s="1"/>
      <c r="B16" s="23"/>
      <c r="C16" s="16" t="s">
        <v>62</v>
      </c>
      <c r="D16" s="24"/>
      <c r="E16" s="24"/>
      <c r="F16" s="24"/>
      <c r="G16" s="24"/>
      <c r="H16" s="24"/>
      <c r="I16" s="25"/>
      <c r="J16" s="40"/>
      <c r="K16" s="41"/>
      <c r="L16" s="42"/>
      <c r="M16" s="42"/>
      <c r="N16" s="42"/>
      <c r="O16" s="42"/>
      <c r="P16" s="42"/>
      <c r="Q16" s="42"/>
      <c r="R16" s="42"/>
      <c r="S16" s="43"/>
      <c r="T16" s="43"/>
      <c r="U16" s="44"/>
      <c r="V16" s="40"/>
      <c r="W16" s="41"/>
      <c r="X16" s="42"/>
      <c r="Y16" s="42"/>
      <c r="Z16" s="42"/>
      <c r="AA16" s="42"/>
      <c r="AB16" s="42"/>
      <c r="AC16" s="42"/>
      <c r="AD16" s="42"/>
      <c r="AE16" s="43"/>
      <c r="AF16" s="43"/>
      <c r="AG16" s="44"/>
      <c r="AH16" s="40"/>
      <c r="AI16" s="41"/>
      <c r="AJ16" s="42"/>
      <c r="AK16" s="42"/>
      <c r="AL16" s="42"/>
      <c r="AM16" s="42"/>
      <c r="AN16" s="42"/>
      <c r="AO16" s="42"/>
      <c r="AP16" s="42"/>
      <c r="AQ16" s="43"/>
      <c r="AR16" s="43"/>
      <c r="AS16" s="44"/>
      <c r="AT16" s="40"/>
      <c r="AU16" s="41"/>
      <c r="AV16" s="42"/>
      <c r="AW16" s="42"/>
      <c r="AX16" s="42"/>
      <c r="AY16" s="42"/>
      <c r="AZ16" s="42"/>
      <c r="BA16" s="42"/>
      <c r="BB16" s="42"/>
      <c r="BC16" s="43"/>
      <c r="BD16" s="43"/>
      <c r="BE16" s="44"/>
      <c r="BF16" s="40"/>
      <c r="BG16" s="41"/>
      <c r="BH16" s="42"/>
      <c r="BI16" s="42"/>
      <c r="BJ16" s="42"/>
      <c r="BK16" s="42"/>
      <c r="BL16" s="42"/>
      <c r="BM16" s="42"/>
      <c r="BN16" s="42"/>
      <c r="BO16" s="43"/>
      <c r="BP16" s="43"/>
      <c r="BQ16" s="44"/>
      <c r="BR16" s="40"/>
      <c r="BS16" s="41"/>
      <c r="BT16" s="42"/>
      <c r="BU16" s="42"/>
      <c r="BV16" s="42"/>
      <c r="BW16" s="42"/>
      <c r="BX16" s="42"/>
      <c r="BY16" s="42"/>
      <c r="BZ16" s="42"/>
      <c r="CA16" s="43"/>
      <c r="CB16" s="43"/>
      <c r="CC16" s="44"/>
      <c r="CD16" s="40"/>
      <c r="CE16" s="41"/>
      <c r="CF16" s="42"/>
      <c r="CG16" s="42"/>
      <c r="CH16" s="42"/>
      <c r="CI16" s="42"/>
      <c r="CJ16" s="42"/>
      <c r="CK16" s="42"/>
      <c r="CL16" s="42"/>
      <c r="CM16" s="43"/>
      <c r="CN16" s="43"/>
      <c r="CO16" s="44"/>
      <c r="CP16" s="40"/>
      <c r="CQ16" s="41"/>
      <c r="CR16" s="42"/>
      <c r="CS16" s="42"/>
      <c r="CT16" s="42"/>
      <c r="CU16" s="42"/>
      <c r="CV16" s="42"/>
      <c r="CW16" s="42"/>
      <c r="CX16" s="42"/>
      <c r="CY16" s="43"/>
      <c r="CZ16" s="43"/>
      <c r="DA16" s="44"/>
      <c r="DB16" s="40"/>
      <c r="DC16" s="41"/>
      <c r="DD16" s="42"/>
      <c r="DE16" s="42"/>
      <c r="DF16" s="42"/>
      <c r="DG16" s="42"/>
      <c r="DH16" s="42"/>
      <c r="DI16" s="42"/>
      <c r="DJ16" s="42"/>
      <c r="DK16" s="43"/>
      <c r="DL16" s="43"/>
      <c r="DM16" s="44"/>
      <c r="DN16" s="40"/>
      <c r="DO16" s="41"/>
      <c r="DP16" s="42"/>
      <c r="DQ16" s="42"/>
      <c r="DR16" s="42"/>
      <c r="DS16" s="42"/>
      <c r="DT16" s="42"/>
      <c r="DU16" s="42"/>
      <c r="DV16" s="42"/>
      <c r="DW16" s="43"/>
      <c r="DX16" s="43"/>
      <c r="DY16" s="44"/>
      <c r="DZ16" s="40"/>
      <c r="EA16" s="41"/>
      <c r="EB16" s="42"/>
      <c r="EC16" s="42"/>
      <c r="ED16" s="42"/>
      <c r="EE16" s="42"/>
      <c r="EF16" s="42"/>
      <c r="EG16" s="42"/>
      <c r="EH16" s="42"/>
      <c r="EI16" s="43"/>
      <c r="EJ16" s="43"/>
      <c r="EK16" s="44"/>
      <c r="EL16" s="40"/>
      <c r="EM16" s="41"/>
      <c r="EN16" s="42"/>
      <c r="EO16" s="42"/>
      <c r="EP16" s="42"/>
      <c r="EQ16" s="42"/>
      <c r="ER16" s="42"/>
      <c r="ES16" s="42"/>
      <c r="ET16" s="42"/>
      <c r="EU16" s="43"/>
      <c r="EV16" s="43"/>
      <c r="EW16" s="44"/>
      <c r="EX16" s="40"/>
      <c r="EY16" s="41"/>
      <c r="EZ16" s="42"/>
      <c r="FA16" s="42"/>
      <c r="FB16" s="42"/>
      <c r="FC16" s="42"/>
      <c r="FD16" s="42"/>
      <c r="FE16" s="42"/>
      <c r="FF16" s="42"/>
      <c r="FG16" s="43"/>
      <c r="FH16" s="43"/>
      <c r="FI16" s="44"/>
    </row>
    <row r="17" spans="1:165" s="26" customFormat="1" x14ac:dyDescent="0.45">
      <c r="A17" s="1"/>
      <c r="B17" s="23"/>
      <c r="C17" s="24" t="s">
        <v>63</v>
      </c>
      <c r="D17" s="24"/>
      <c r="E17" s="24"/>
      <c r="F17" s="24"/>
      <c r="G17" s="24"/>
      <c r="H17" s="24"/>
      <c r="I17" s="25"/>
      <c r="J17" s="40"/>
      <c r="K17" s="41"/>
      <c r="L17" s="42"/>
      <c r="M17" s="42"/>
      <c r="N17" s="42"/>
      <c r="O17" s="42"/>
      <c r="P17" s="42"/>
      <c r="Q17" s="42"/>
      <c r="R17" s="42"/>
      <c r="S17" s="43"/>
      <c r="T17" s="43"/>
      <c r="U17" s="44"/>
      <c r="V17" s="40"/>
      <c r="W17" s="41"/>
      <c r="X17" s="42"/>
      <c r="Y17" s="42"/>
      <c r="Z17" s="42"/>
      <c r="AA17" s="42"/>
      <c r="AB17" s="42"/>
      <c r="AC17" s="42"/>
      <c r="AD17" s="42"/>
      <c r="AE17" s="43"/>
      <c r="AF17" s="43"/>
      <c r="AG17" s="44"/>
      <c r="AH17" s="40"/>
      <c r="AI17" s="41"/>
      <c r="AJ17" s="42"/>
      <c r="AK17" s="42"/>
      <c r="AL17" s="42"/>
      <c r="AM17" s="42"/>
      <c r="AN17" s="42"/>
      <c r="AO17" s="42"/>
      <c r="AP17" s="42"/>
      <c r="AQ17" s="43"/>
      <c r="AR17" s="43"/>
      <c r="AS17" s="44"/>
      <c r="AT17" s="40"/>
      <c r="AU17" s="41"/>
      <c r="AV17" s="42"/>
      <c r="AW17" s="42"/>
      <c r="AX17" s="42"/>
      <c r="AY17" s="42"/>
      <c r="AZ17" s="42"/>
      <c r="BA17" s="42"/>
      <c r="BB17" s="42"/>
      <c r="BC17" s="43"/>
      <c r="BD17" s="43"/>
      <c r="BE17" s="44"/>
      <c r="BF17" s="40"/>
      <c r="BG17" s="41"/>
      <c r="BH17" s="42"/>
      <c r="BI17" s="42"/>
      <c r="BJ17" s="42"/>
      <c r="BK17" s="42"/>
      <c r="BL17" s="42"/>
      <c r="BM17" s="42"/>
      <c r="BN17" s="42"/>
      <c r="BO17" s="43"/>
      <c r="BP17" s="43"/>
      <c r="BQ17" s="44"/>
      <c r="BR17" s="40"/>
      <c r="BS17" s="41"/>
      <c r="BT17" s="42"/>
      <c r="BU17" s="42"/>
      <c r="BV17" s="42"/>
      <c r="BW17" s="42"/>
      <c r="BX17" s="42"/>
      <c r="BY17" s="42"/>
      <c r="BZ17" s="42"/>
      <c r="CA17" s="43"/>
      <c r="CB17" s="43"/>
      <c r="CC17" s="44"/>
      <c r="CD17" s="40"/>
      <c r="CE17" s="41"/>
      <c r="CF17" s="42"/>
      <c r="CG17" s="42"/>
      <c r="CH17" s="42"/>
      <c r="CI17" s="42"/>
      <c r="CJ17" s="42"/>
      <c r="CK17" s="42"/>
      <c r="CL17" s="42"/>
      <c r="CM17" s="43"/>
      <c r="CN17" s="43"/>
      <c r="CO17" s="44"/>
      <c r="CP17" s="40"/>
      <c r="CQ17" s="41"/>
      <c r="CR17" s="42"/>
      <c r="CS17" s="42"/>
      <c r="CT17" s="42"/>
      <c r="CU17" s="42"/>
      <c r="CV17" s="42"/>
      <c r="CW17" s="42"/>
      <c r="CX17" s="42"/>
      <c r="CY17" s="43"/>
      <c r="CZ17" s="43"/>
      <c r="DA17" s="44"/>
      <c r="DB17" s="40"/>
      <c r="DC17" s="41"/>
      <c r="DD17" s="42"/>
      <c r="DE17" s="42"/>
      <c r="DF17" s="42"/>
      <c r="DG17" s="42"/>
      <c r="DH17" s="42"/>
      <c r="DI17" s="42"/>
      <c r="DJ17" s="42"/>
      <c r="DK17" s="43"/>
      <c r="DL17" s="43"/>
      <c r="DM17" s="44"/>
      <c r="DN17" s="40"/>
      <c r="DO17" s="41"/>
      <c r="DP17" s="42"/>
      <c r="DQ17" s="42"/>
      <c r="DR17" s="42"/>
      <c r="DS17" s="42"/>
      <c r="DT17" s="42"/>
      <c r="DU17" s="42"/>
      <c r="DV17" s="42"/>
      <c r="DW17" s="43"/>
      <c r="DX17" s="43"/>
      <c r="DY17" s="44"/>
      <c r="DZ17" s="40"/>
      <c r="EA17" s="41"/>
      <c r="EB17" s="42"/>
      <c r="EC17" s="42"/>
      <c r="ED17" s="42"/>
      <c r="EE17" s="42"/>
      <c r="EF17" s="42"/>
      <c r="EG17" s="42"/>
      <c r="EH17" s="42"/>
      <c r="EI17" s="43"/>
      <c r="EJ17" s="43"/>
      <c r="EK17" s="44"/>
      <c r="EL17" s="40"/>
      <c r="EM17" s="41"/>
      <c r="EN17" s="42"/>
      <c r="EO17" s="42"/>
      <c r="EP17" s="42"/>
      <c r="EQ17" s="42"/>
      <c r="ER17" s="42"/>
      <c r="ES17" s="42"/>
      <c r="ET17" s="42"/>
      <c r="EU17" s="43"/>
      <c r="EV17" s="43"/>
      <c r="EW17" s="44"/>
      <c r="EX17" s="40"/>
      <c r="EY17" s="41"/>
      <c r="EZ17" s="42"/>
      <c r="FA17" s="42"/>
      <c r="FB17" s="42"/>
      <c r="FC17" s="42"/>
      <c r="FD17" s="42"/>
      <c r="FE17" s="42"/>
      <c r="FF17" s="42"/>
      <c r="FG17" s="43"/>
      <c r="FH17" s="43"/>
      <c r="FI17" s="44"/>
    </row>
    <row r="18" spans="1:165" s="26" customFormat="1" ht="30.75" x14ac:dyDescent="0.45">
      <c r="A18" s="1"/>
      <c r="B18" s="23"/>
      <c r="C18" s="16" t="s">
        <v>30</v>
      </c>
      <c r="D18" s="24"/>
      <c r="E18" s="24"/>
      <c r="F18" s="24"/>
      <c r="G18" s="24"/>
      <c r="H18" s="24"/>
      <c r="I18" s="25"/>
      <c r="J18" s="40"/>
      <c r="K18" s="41"/>
      <c r="L18" s="42"/>
      <c r="M18" s="42"/>
      <c r="N18" s="42"/>
      <c r="O18" s="42"/>
      <c r="P18" s="42"/>
      <c r="Q18" s="42"/>
      <c r="R18" s="42"/>
      <c r="S18" s="43"/>
      <c r="T18" s="43"/>
      <c r="U18" s="44"/>
      <c r="V18" s="40"/>
      <c r="W18" s="41"/>
      <c r="X18" s="42"/>
      <c r="Y18" s="42"/>
      <c r="Z18" s="42"/>
      <c r="AA18" s="42"/>
      <c r="AB18" s="42"/>
      <c r="AC18" s="42"/>
      <c r="AD18" s="42"/>
      <c r="AE18" s="43"/>
      <c r="AF18" s="43"/>
      <c r="AG18" s="44"/>
      <c r="AH18" s="40"/>
      <c r="AI18" s="41"/>
      <c r="AJ18" s="42"/>
      <c r="AK18" s="42"/>
      <c r="AL18" s="42"/>
      <c r="AM18" s="42"/>
      <c r="AN18" s="42"/>
      <c r="AO18" s="42"/>
      <c r="AP18" s="42"/>
      <c r="AQ18" s="43"/>
      <c r="AR18" s="43"/>
      <c r="AS18" s="44"/>
      <c r="AT18" s="40"/>
      <c r="AU18" s="41"/>
      <c r="AV18" s="42"/>
      <c r="AW18" s="42"/>
      <c r="AX18" s="42"/>
      <c r="AY18" s="42"/>
      <c r="AZ18" s="42"/>
      <c r="BA18" s="42"/>
      <c r="BB18" s="42"/>
      <c r="BC18" s="43"/>
      <c r="BD18" s="43"/>
      <c r="BE18" s="44"/>
      <c r="BF18" s="40"/>
      <c r="BG18" s="41"/>
      <c r="BH18" s="42"/>
      <c r="BI18" s="42"/>
      <c r="BJ18" s="42"/>
      <c r="BK18" s="42"/>
      <c r="BL18" s="42"/>
      <c r="BM18" s="42"/>
      <c r="BN18" s="42"/>
      <c r="BO18" s="43"/>
      <c r="BP18" s="43"/>
      <c r="BQ18" s="44"/>
      <c r="BR18" s="40"/>
      <c r="BS18" s="41"/>
      <c r="BT18" s="42"/>
      <c r="BU18" s="42"/>
      <c r="BV18" s="42"/>
      <c r="BW18" s="42"/>
      <c r="BX18" s="42"/>
      <c r="BY18" s="42"/>
      <c r="BZ18" s="42"/>
      <c r="CA18" s="43"/>
      <c r="CB18" s="43"/>
      <c r="CC18" s="44"/>
      <c r="CD18" s="40"/>
      <c r="CE18" s="41"/>
      <c r="CF18" s="42"/>
      <c r="CG18" s="42"/>
      <c r="CH18" s="42"/>
      <c r="CI18" s="42"/>
      <c r="CJ18" s="42"/>
      <c r="CK18" s="42"/>
      <c r="CL18" s="42"/>
      <c r="CM18" s="43"/>
      <c r="CN18" s="43"/>
      <c r="CO18" s="44"/>
      <c r="CP18" s="40"/>
      <c r="CQ18" s="41"/>
      <c r="CR18" s="42"/>
      <c r="CS18" s="42"/>
      <c r="CT18" s="42"/>
      <c r="CU18" s="42"/>
      <c r="CV18" s="42"/>
      <c r="CW18" s="42"/>
      <c r="CX18" s="42"/>
      <c r="CY18" s="43"/>
      <c r="CZ18" s="43"/>
      <c r="DA18" s="44"/>
      <c r="DB18" s="40"/>
      <c r="DC18" s="41"/>
      <c r="DD18" s="42"/>
      <c r="DE18" s="42"/>
      <c r="DF18" s="42"/>
      <c r="DG18" s="42"/>
      <c r="DH18" s="42"/>
      <c r="DI18" s="42"/>
      <c r="DJ18" s="42"/>
      <c r="DK18" s="43"/>
      <c r="DL18" s="43"/>
      <c r="DM18" s="44"/>
      <c r="DN18" s="40"/>
      <c r="DO18" s="41"/>
      <c r="DP18" s="42"/>
      <c r="DQ18" s="42"/>
      <c r="DR18" s="42"/>
      <c r="DS18" s="42"/>
      <c r="DT18" s="42"/>
      <c r="DU18" s="42"/>
      <c r="DV18" s="42"/>
      <c r="DW18" s="43"/>
      <c r="DX18" s="43"/>
      <c r="DY18" s="44"/>
      <c r="DZ18" s="40"/>
      <c r="EA18" s="41"/>
      <c r="EB18" s="42"/>
      <c r="EC18" s="42"/>
      <c r="ED18" s="42"/>
      <c r="EE18" s="42"/>
      <c r="EF18" s="42"/>
      <c r="EG18" s="42"/>
      <c r="EH18" s="42"/>
      <c r="EI18" s="43"/>
      <c r="EJ18" s="43"/>
      <c r="EK18" s="44"/>
      <c r="EL18" s="40"/>
      <c r="EM18" s="41"/>
      <c r="EN18" s="42"/>
      <c r="EO18" s="42"/>
      <c r="EP18" s="42"/>
      <c r="EQ18" s="42"/>
      <c r="ER18" s="42"/>
      <c r="ES18" s="42"/>
      <c r="ET18" s="42"/>
      <c r="EU18" s="43"/>
      <c r="EV18" s="43"/>
      <c r="EW18" s="44"/>
      <c r="EX18" s="40"/>
      <c r="EY18" s="41"/>
      <c r="EZ18" s="42"/>
      <c r="FA18" s="42"/>
      <c r="FB18" s="42"/>
      <c r="FC18" s="42"/>
      <c r="FD18" s="42"/>
      <c r="FE18" s="42"/>
      <c r="FF18" s="42"/>
      <c r="FG18" s="43"/>
      <c r="FH18" s="43"/>
      <c r="FI18" s="44"/>
    </row>
    <row r="19" spans="1:165" s="26" customFormat="1" x14ac:dyDescent="0.45">
      <c r="A19" s="1"/>
      <c r="B19" s="23"/>
      <c r="C19" s="24" t="s">
        <v>25</v>
      </c>
      <c r="D19" s="24"/>
      <c r="E19" s="24"/>
      <c r="F19" s="24"/>
      <c r="G19" s="24"/>
      <c r="H19" s="24"/>
      <c r="I19" s="25"/>
      <c r="J19" s="40"/>
      <c r="K19" s="41"/>
      <c r="L19" s="42"/>
      <c r="M19" s="42"/>
      <c r="N19" s="42"/>
      <c r="O19" s="42"/>
      <c r="P19" s="42"/>
      <c r="Q19" s="42"/>
      <c r="R19" s="42"/>
      <c r="S19" s="43"/>
      <c r="T19" s="43"/>
      <c r="U19" s="44"/>
      <c r="V19" s="40"/>
      <c r="W19" s="41"/>
      <c r="X19" s="42"/>
      <c r="Y19" s="42"/>
      <c r="Z19" s="42"/>
      <c r="AA19" s="42"/>
      <c r="AB19" s="42"/>
      <c r="AC19" s="42"/>
      <c r="AD19" s="42"/>
      <c r="AE19" s="43"/>
      <c r="AF19" s="43"/>
      <c r="AG19" s="44"/>
      <c r="AH19" s="40"/>
      <c r="AI19" s="41"/>
      <c r="AJ19" s="42"/>
      <c r="AK19" s="42"/>
      <c r="AL19" s="42"/>
      <c r="AM19" s="42"/>
      <c r="AN19" s="42"/>
      <c r="AO19" s="42"/>
      <c r="AP19" s="42"/>
      <c r="AQ19" s="43"/>
      <c r="AR19" s="43"/>
      <c r="AS19" s="44"/>
      <c r="AT19" s="40"/>
      <c r="AU19" s="41"/>
      <c r="AV19" s="42"/>
      <c r="AW19" s="42"/>
      <c r="AX19" s="42"/>
      <c r="AY19" s="42"/>
      <c r="AZ19" s="42"/>
      <c r="BA19" s="42"/>
      <c r="BB19" s="42"/>
      <c r="BC19" s="43"/>
      <c r="BD19" s="43"/>
      <c r="BE19" s="44"/>
      <c r="BF19" s="40"/>
      <c r="BG19" s="41"/>
      <c r="BH19" s="42"/>
      <c r="BI19" s="42"/>
      <c r="BJ19" s="42"/>
      <c r="BK19" s="42"/>
      <c r="BL19" s="42"/>
      <c r="BM19" s="42"/>
      <c r="BN19" s="42"/>
      <c r="BO19" s="43"/>
      <c r="BP19" s="43"/>
      <c r="BQ19" s="44"/>
      <c r="BR19" s="40"/>
      <c r="BS19" s="41"/>
      <c r="BT19" s="42"/>
      <c r="BU19" s="42"/>
      <c r="BV19" s="42"/>
      <c r="BW19" s="42"/>
      <c r="BX19" s="42"/>
      <c r="BY19" s="42"/>
      <c r="BZ19" s="42"/>
      <c r="CA19" s="43"/>
      <c r="CB19" s="43"/>
      <c r="CC19" s="44"/>
      <c r="CD19" s="40"/>
      <c r="CE19" s="41"/>
      <c r="CF19" s="42"/>
      <c r="CG19" s="42"/>
      <c r="CH19" s="42"/>
      <c r="CI19" s="42"/>
      <c r="CJ19" s="42"/>
      <c r="CK19" s="42"/>
      <c r="CL19" s="42"/>
      <c r="CM19" s="43"/>
      <c r="CN19" s="43"/>
      <c r="CO19" s="44"/>
      <c r="CP19" s="40"/>
      <c r="CQ19" s="41"/>
      <c r="CR19" s="42"/>
      <c r="CS19" s="42"/>
      <c r="CT19" s="42"/>
      <c r="CU19" s="42"/>
      <c r="CV19" s="42"/>
      <c r="CW19" s="42"/>
      <c r="CX19" s="42"/>
      <c r="CY19" s="43"/>
      <c r="CZ19" s="43"/>
      <c r="DA19" s="44"/>
      <c r="DB19" s="40"/>
      <c r="DC19" s="41"/>
      <c r="DD19" s="42"/>
      <c r="DE19" s="42"/>
      <c r="DF19" s="42"/>
      <c r="DG19" s="42"/>
      <c r="DH19" s="42"/>
      <c r="DI19" s="42"/>
      <c r="DJ19" s="42"/>
      <c r="DK19" s="43"/>
      <c r="DL19" s="43"/>
      <c r="DM19" s="44"/>
      <c r="DN19" s="40"/>
      <c r="DO19" s="41"/>
      <c r="DP19" s="42"/>
      <c r="DQ19" s="42"/>
      <c r="DR19" s="42"/>
      <c r="DS19" s="42"/>
      <c r="DT19" s="42"/>
      <c r="DU19" s="42"/>
      <c r="DV19" s="42"/>
      <c r="DW19" s="43"/>
      <c r="DX19" s="43"/>
      <c r="DY19" s="44"/>
      <c r="DZ19" s="40"/>
      <c r="EA19" s="41"/>
      <c r="EB19" s="42"/>
      <c r="EC19" s="42"/>
      <c r="ED19" s="42"/>
      <c r="EE19" s="42"/>
      <c r="EF19" s="42"/>
      <c r="EG19" s="42"/>
      <c r="EH19" s="42"/>
      <c r="EI19" s="43"/>
      <c r="EJ19" s="43"/>
      <c r="EK19" s="44"/>
      <c r="EL19" s="40"/>
      <c r="EM19" s="41"/>
      <c r="EN19" s="42"/>
      <c r="EO19" s="42"/>
      <c r="EP19" s="42"/>
      <c r="EQ19" s="42"/>
      <c r="ER19" s="42"/>
      <c r="ES19" s="42"/>
      <c r="ET19" s="42"/>
      <c r="EU19" s="43"/>
      <c r="EV19" s="43"/>
      <c r="EW19" s="44"/>
      <c r="EX19" s="40"/>
      <c r="EY19" s="41"/>
      <c r="EZ19" s="42"/>
      <c r="FA19" s="42"/>
      <c r="FB19" s="42"/>
      <c r="FC19" s="42"/>
      <c r="FD19" s="42"/>
      <c r="FE19" s="42"/>
      <c r="FF19" s="42"/>
      <c r="FG19" s="43"/>
      <c r="FH19" s="43"/>
      <c r="FI19" s="44"/>
    </row>
    <row r="20" spans="1:165" s="26" customFormat="1" x14ac:dyDescent="0.45">
      <c r="A20" s="1"/>
      <c r="B20" s="23"/>
      <c r="C20" s="24" t="s">
        <v>31</v>
      </c>
      <c r="D20" s="24"/>
      <c r="E20" s="24"/>
      <c r="F20" s="24"/>
      <c r="G20" s="24"/>
      <c r="H20" s="24"/>
      <c r="I20" s="25"/>
      <c r="J20" s="40"/>
      <c r="K20" s="41"/>
      <c r="L20" s="42"/>
      <c r="M20" s="42"/>
      <c r="N20" s="42"/>
      <c r="O20" s="42"/>
      <c r="P20" s="42"/>
      <c r="Q20" s="42"/>
      <c r="R20" s="42"/>
      <c r="S20" s="43"/>
      <c r="T20" s="43"/>
      <c r="U20" s="44"/>
      <c r="V20" s="40"/>
      <c r="W20" s="41"/>
      <c r="X20" s="42"/>
      <c r="Y20" s="42"/>
      <c r="Z20" s="42"/>
      <c r="AA20" s="42"/>
      <c r="AB20" s="42"/>
      <c r="AC20" s="42"/>
      <c r="AD20" s="42"/>
      <c r="AE20" s="43"/>
      <c r="AF20" s="43"/>
      <c r="AG20" s="44"/>
      <c r="AH20" s="40"/>
      <c r="AI20" s="41"/>
      <c r="AJ20" s="42"/>
      <c r="AK20" s="42"/>
      <c r="AL20" s="42"/>
      <c r="AM20" s="42"/>
      <c r="AN20" s="42"/>
      <c r="AO20" s="42"/>
      <c r="AP20" s="42"/>
      <c r="AQ20" s="43"/>
      <c r="AR20" s="43"/>
      <c r="AS20" s="44"/>
      <c r="AT20" s="40"/>
      <c r="AU20" s="41"/>
      <c r="AV20" s="42"/>
      <c r="AW20" s="42"/>
      <c r="AX20" s="42"/>
      <c r="AY20" s="42"/>
      <c r="AZ20" s="42"/>
      <c r="BA20" s="42"/>
      <c r="BB20" s="42"/>
      <c r="BC20" s="43"/>
      <c r="BD20" s="43"/>
      <c r="BE20" s="44"/>
      <c r="BF20" s="40"/>
      <c r="BG20" s="41"/>
      <c r="BH20" s="42"/>
      <c r="BI20" s="42"/>
      <c r="BJ20" s="42"/>
      <c r="BK20" s="42"/>
      <c r="BL20" s="42"/>
      <c r="BM20" s="42"/>
      <c r="BN20" s="42"/>
      <c r="BO20" s="43"/>
      <c r="BP20" s="43"/>
      <c r="BQ20" s="44"/>
      <c r="BR20" s="40"/>
      <c r="BS20" s="41"/>
      <c r="BT20" s="42"/>
      <c r="BU20" s="42"/>
      <c r="BV20" s="42"/>
      <c r="BW20" s="42"/>
      <c r="BX20" s="42"/>
      <c r="BY20" s="42"/>
      <c r="BZ20" s="42"/>
      <c r="CA20" s="43"/>
      <c r="CB20" s="43"/>
      <c r="CC20" s="44"/>
      <c r="CD20" s="40"/>
      <c r="CE20" s="41"/>
      <c r="CF20" s="42"/>
      <c r="CG20" s="42"/>
      <c r="CH20" s="42"/>
      <c r="CI20" s="42"/>
      <c r="CJ20" s="42"/>
      <c r="CK20" s="42"/>
      <c r="CL20" s="42"/>
      <c r="CM20" s="43"/>
      <c r="CN20" s="43"/>
      <c r="CO20" s="44"/>
      <c r="CP20" s="40"/>
      <c r="CQ20" s="41"/>
      <c r="CR20" s="42"/>
      <c r="CS20" s="42"/>
      <c r="CT20" s="42"/>
      <c r="CU20" s="42"/>
      <c r="CV20" s="42"/>
      <c r="CW20" s="42"/>
      <c r="CX20" s="42"/>
      <c r="CY20" s="43"/>
      <c r="CZ20" s="43"/>
      <c r="DA20" s="44"/>
      <c r="DB20" s="40"/>
      <c r="DC20" s="41"/>
      <c r="DD20" s="42"/>
      <c r="DE20" s="42"/>
      <c r="DF20" s="42"/>
      <c r="DG20" s="42"/>
      <c r="DH20" s="42"/>
      <c r="DI20" s="42"/>
      <c r="DJ20" s="42"/>
      <c r="DK20" s="43"/>
      <c r="DL20" s="43"/>
      <c r="DM20" s="44"/>
      <c r="DN20" s="40"/>
      <c r="DO20" s="41"/>
      <c r="DP20" s="42"/>
      <c r="DQ20" s="42"/>
      <c r="DR20" s="42"/>
      <c r="DS20" s="42"/>
      <c r="DT20" s="42"/>
      <c r="DU20" s="42"/>
      <c r="DV20" s="42"/>
      <c r="DW20" s="43"/>
      <c r="DX20" s="43"/>
      <c r="DY20" s="44"/>
      <c r="DZ20" s="40"/>
      <c r="EA20" s="41"/>
      <c r="EB20" s="42"/>
      <c r="EC20" s="42"/>
      <c r="ED20" s="42"/>
      <c r="EE20" s="42"/>
      <c r="EF20" s="42"/>
      <c r="EG20" s="42"/>
      <c r="EH20" s="42"/>
      <c r="EI20" s="43"/>
      <c r="EJ20" s="43"/>
      <c r="EK20" s="44"/>
      <c r="EL20" s="40"/>
      <c r="EM20" s="41"/>
      <c r="EN20" s="42"/>
      <c r="EO20" s="42"/>
      <c r="EP20" s="42"/>
      <c r="EQ20" s="42"/>
      <c r="ER20" s="42"/>
      <c r="ES20" s="42"/>
      <c r="ET20" s="42"/>
      <c r="EU20" s="43"/>
      <c r="EV20" s="43"/>
      <c r="EW20" s="44"/>
      <c r="EX20" s="40"/>
      <c r="EY20" s="41"/>
      <c r="EZ20" s="42"/>
      <c r="FA20" s="42"/>
      <c r="FB20" s="42"/>
      <c r="FC20" s="42"/>
      <c r="FD20" s="42"/>
      <c r="FE20" s="42"/>
      <c r="FF20" s="42"/>
      <c r="FG20" s="43"/>
      <c r="FH20" s="43"/>
      <c r="FI20" s="44"/>
    </row>
    <row r="21" spans="1:165" s="26" customFormat="1" ht="76.900000000000006" x14ac:dyDescent="0.45">
      <c r="A21" s="1"/>
      <c r="B21" s="23"/>
      <c r="C21" s="16" t="s">
        <v>64</v>
      </c>
      <c r="D21" s="24"/>
      <c r="E21" s="24"/>
      <c r="F21" s="24"/>
      <c r="G21" s="24"/>
      <c r="H21" s="24"/>
      <c r="I21" s="25"/>
      <c r="J21" s="40"/>
      <c r="K21" s="41"/>
      <c r="L21" s="42"/>
      <c r="M21" s="42"/>
      <c r="N21" s="42"/>
      <c r="O21" s="42"/>
      <c r="P21" s="42"/>
      <c r="Q21" s="42"/>
      <c r="R21" s="42"/>
      <c r="S21" s="43"/>
      <c r="T21" s="43"/>
      <c r="U21" s="44"/>
      <c r="V21" s="40"/>
      <c r="W21" s="41"/>
      <c r="X21" s="42"/>
      <c r="Y21" s="42"/>
      <c r="Z21" s="42"/>
      <c r="AA21" s="42"/>
      <c r="AB21" s="42"/>
      <c r="AC21" s="42"/>
      <c r="AD21" s="42"/>
      <c r="AE21" s="43"/>
      <c r="AF21" s="43"/>
      <c r="AG21" s="44"/>
      <c r="AH21" s="40"/>
      <c r="AI21" s="41"/>
      <c r="AJ21" s="42"/>
      <c r="AK21" s="42"/>
      <c r="AL21" s="42"/>
      <c r="AM21" s="42"/>
      <c r="AN21" s="42"/>
      <c r="AO21" s="42"/>
      <c r="AP21" s="42"/>
      <c r="AQ21" s="43"/>
      <c r="AR21" s="43"/>
      <c r="AS21" s="44"/>
      <c r="AT21" s="40"/>
      <c r="AU21" s="41"/>
      <c r="AV21" s="42"/>
      <c r="AW21" s="42"/>
      <c r="AX21" s="42"/>
      <c r="AY21" s="42"/>
      <c r="AZ21" s="42"/>
      <c r="BA21" s="42"/>
      <c r="BB21" s="42"/>
      <c r="BC21" s="43"/>
      <c r="BD21" s="43"/>
      <c r="BE21" s="44"/>
      <c r="BF21" s="40"/>
      <c r="BG21" s="41"/>
      <c r="BH21" s="42"/>
      <c r="BI21" s="42"/>
      <c r="BJ21" s="42"/>
      <c r="BK21" s="42"/>
      <c r="BL21" s="42"/>
      <c r="BM21" s="42"/>
      <c r="BN21" s="42"/>
      <c r="BO21" s="43"/>
      <c r="BP21" s="43"/>
      <c r="BQ21" s="44"/>
      <c r="BR21" s="40"/>
      <c r="BS21" s="41"/>
      <c r="BT21" s="42"/>
      <c r="BU21" s="42"/>
      <c r="BV21" s="42"/>
      <c r="BW21" s="42"/>
      <c r="BX21" s="42"/>
      <c r="BY21" s="42"/>
      <c r="BZ21" s="42"/>
      <c r="CA21" s="43"/>
      <c r="CB21" s="43"/>
      <c r="CC21" s="44"/>
      <c r="CD21" s="40"/>
      <c r="CE21" s="41"/>
      <c r="CF21" s="42"/>
      <c r="CG21" s="42"/>
      <c r="CH21" s="42"/>
      <c r="CI21" s="42"/>
      <c r="CJ21" s="42"/>
      <c r="CK21" s="42"/>
      <c r="CL21" s="42"/>
      <c r="CM21" s="43"/>
      <c r="CN21" s="43"/>
      <c r="CO21" s="44"/>
      <c r="CP21" s="40"/>
      <c r="CQ21" s="41"/>
      <c r="CR21" s="42"/>
      <c r="CS21" s="42"/>
      <c r="CT21" s="42"/>
      <c r="CU21" s="42"/>
      <c r="CV21" s="42"/>
      <c r="CW21" s="42"/>
      <c r="CX21" s="42"/>
      <c r="CY21" s="43"/>
      <c r="CZ21" s="43"/>
      <c r="DA21" s="44"/>
      <c r="DB21" s="40"/>
      <c r="DC21" s="41"/>
      <c r="DD21" s="42"/>
      <c r="DE21" s="42"/>
      <c r="DF21" s="42"/>
      <c r="DG21" s="42"/>
      <c r="DH21" s="42"/>
      <c r="DI21" s="42"/>
      <c r="DJ21" s="42"/>
      <c r="DK21" s="43"/>
      <c r="DL21" s="43"/>
      <c r="DM21" s="44"/>
      <c r="DN21" s="40"/>
      <c r="DO21" s="41"/>
      <c r="DP21" s="42"/>
      <c r="DQ21" s="42"/>
      <c r="DR21" s="42"/>
      <c r="DS21" s="42"/>
      <c r="DT21" s="42"/>
      <c r="DU21" s="42"/>
      <c r="DV21" s="42"/>
      <c r="DW21" s="43"/>
      <c r="DX21" s="43"/>
      <c r="DY21" s="44"/>
      <c r="DZ21" s="40"/>
      <c r="EA21" s="41"/>
      <c r="EB21" s="42"/>
      <c r="EC21" s="42"/>
      <c r="ED21" s="42"/>
      <c r="EE21" s="42"/>
      <c r="EF21" s="42"/>
      <c r="EG21" s="42"/>
      <c r="EH21" s="42"/>
      <c r="EI21" s="43"/>
      <c r="EJ21" s="43"/>
      <c r="EK21" s="44"/>
      <c r="EL21" s="40"/>
      <c r="EM21" s="41"/>
      <c r="EN21" s="42"/>
      <c r="EO21" s="42"/>
      <c r="EP21" s="42"/>
      <c r="EQ21" s="42"/>
      <c r="ER21" s="42"/>
      <c r="ES21" s="42"/>
      <c r="ET21" s="42"/>
      <c r="EU21" s="43"/>
      <c r="EV21" s="43"/>
      <c r="EW21" s="44"/>
      <c r="EX21" s="40"/>
      <c r="EY21" s="41"/>
      <c r="EZ21" s="42"/>
      <c r="FA21" s="42"/>
      <c r="FB21" s="42"/>
      <c r="FC21" s="42"/>
      <c r="FD21" s="42"/>
      <c r="FE21" s="42"/>
      <c r="FF21" s="42"/>
      <c r="FG21" s="43"/>
      <c r="FH21" s="43"/>
      <c r="FI21" s="44"/>
    </row>
    <row r="22" spans="1:165" s="2" customFormat="1" ht="84" customHeight="1" x14ac:dyDescent="0.45">
      <c r="A22" s="1"/>
      <c r="B22" s="72" t="s">
        <v>29</v>
      </c>
      <c r="C22" s="73"/>
      <c r="D22" s="70" t="s">
        <v>28</v>
      </c>
      <c r="E22" s="70"/>
      <c r="F22" s="70"/>
      <c r="G22" s="70"/>
      <c r="H22" s="70"/>
      <c r="I22" s="71"/>
      <c r="J22" s="63"/>
      <c r="K22" s="64"/>
      <c r="L22" s="65"/>
      <c r="M22" s="65"/>
      <c r="N22" s="65"/>
      <c r="O22" s="65"/>
      <c r="P22" s="65"/>
      <c r="Q22" s="65"/>
      <c r="R22" s="65"/>
      <c r="S22" s="66"/>
      <c r="T22" s="66"/>
      <c r="U22" s="67"/>
      <c r="V22" s="63"/>
      <c r="W22" s="64"/>
      <c r="X22" s="65"/>
      <c r="Y22" s="65"/>
      <c r="Z22" s="65"/>
      <c r="AA22" s="65"/>
      <c r="AB22" s="65"/>
      <c r="AC22" s="65"/>
      <c r="AD22" s="65"/>
      <c r="AE22" s="66"/>
      <c r="AF22" s="66"/>
      <c r="AG22" s="67"/>
      <c r="AH22" s="63"/>
      <c r="AI22" s="64"/>
      <c r="AJ22" s="65"/>
      <c r="AK22" s="65"/>
      <c r="AL22" s="65"/>
      <c r="AM22" s="65"/>
      <c r="AN22" s="65"/>
      <c r="AO22" s="65"/>
      <c r="AP22" s="65"/>
      <c r="AQ22" s="66"/>
      <c r="AR22" s="66"/>
      <c r="AS22" s="67"/>
      <c r="AT22" s="63"/>
      <c r="AU22" s="64"/>
      <c r="AV22" s="65"/>
      <c r="AW22" s="65"/>
      <c r="AX22" s="65"/>
      <c r="AY22" s="65"/>
      <c r="AZ22" s="65"/>
      <c r="BA22" s="65"/>
      <c r="BB22" s="65"/>
      <c r="BC22" s="66"/>
      <c r="BD22" s="66"/>
      <c r="BE22" s="67"/>
      <c r="BF22" s="63"/>
      <c r="BG22" s="64"/>
      <c r="BH22" s="65"/>
      <c r="BI22" s="65"/>
      <c r="BJ22" s="65"/>
      <c r="BK22" s="65"/>
      <c r="BL22" s="65"/>
      <c r="BM22" s="65"/>
      <c r="BN22" s="65"/>
      <c r="BO22" s="66"/>
      <c r="BP22" s="66"/>
      <c r="BQ22" s="67"/>
      <c r="BR22" s="63"/>
      <c r="BS22" s="64"/>
      <c r="BT22" s="65"/>
      <c r="BU22" s="65"/>
      <c r="BV22" s="65"/>
      <c r="BW22" s="65"/>
      <c r="BX22" s="65"/>
      <c r="BY22" s="65"/>
      <c r="BZ22" s="65"/>
      <c r="CA22" s="66"/>
      <c r="CB22" s="66"/>
      <c r="CC22" s="67"/>
      <c r="CD22" s="63"/>
      <c r="CE22" s="64"/>
      <c r="CF22" s="65"/>
      <c r="CG22" s="65"/>
      <c r="CH22" s="65"/>
      <c r="CI22" s="65"/>
      <c r="CJ22" s="65"/>
      <c r="CK22" s="65"/>
      <c r="CL22" s="65"/>
      <c r="CM22" s="66"/>
      <c r="CN22" s="66"/>
      <c r="CO22" s="67"/>
      <c r="CP22" s="63"/>
      <c r="CQ22" s="64"/>
      <c r="CR22" s="65"/>
      <c r="CS22" s="65"/>
      <c r="CT22" s="65"/>
      <c r="CU22" s="65"/>
      <c r="CV22" s="65"/>
      <c r="CW22" s="65"/>
      <c r="CX22" s="65"/>
      <c r="CY22" s="66"/>
      <c r="CZ22" s="66"/>
      <c r="DA22" s="67"/>
      <c r="DB22" s="63"/>
      <c r="DC22" s="64"/>
      <c r="DD22" s="65"/>
      <c r="DE22" s="65"/>
      <c r="DF22" s="65"/>
      <c r="DG22" s="65"/>
      <c r="DH22" s="65"/>
      <c r="DI22" s="65"/>
      <c r="DJ22" s="65"/>
      <c r="DK22" s="66"/>
      <c r="DL22" s="66"/>
      <c r="DM22" s="67"/>
      <c r="DN22" s="63"/>
      <c r="DO22" s="64"/>
      <c r="DP22" s="65"/>
      <c r="DQ22" s="65"/>
      <c r="DR22" s="65"/>
      <c r="DS22" s="65"/>
      <c r="DT22" s="65"/>
      <c r="DU22" s="65"/>
      <c r="DV22" s="65"/>
      <c r="DW22" s="66"/>
      <c r="DX22" s="66"/>
      <c r="DY22" s="67"/>
      <c r="DZ22" s="63"/>
      <c r="EA22" s="64"/>
      <c r="EB22" s="65"/>
      <c r="EC22" s="65"/>
      <c r="ED22" s="65"/>
      <c r="EE22" s="65"/>
      <c r="EF22" s="65"/>
      <c r="EG22" s="65"/>
      <c r="EH22" s="65"/>
      <c r="EI22" s="66"/>
      <c r="EJ22" s="66"/>
      <c r="EK22" s="67"/>
      <c r="EL22" s="63"/>
      <c r="EM22" s="64"/>
      <c r="EN22" s="65"/>
      <c r="EO22" s="65"/>
      <c r="EP22" s="65"/>
      <c r="EQ22" s="65"/>
      <c r="ER22" s="65"/>
      <c r="ES22" s="65"/>
      <c r="ET22" s="65"/>
      <c r="EU22" s="66"/>
      <c r="EV22" s="66"/>
      <c r="EW22" s="67"/>
      <c r="EX22" s="63"/>
      <c r="EY22" s="64"/>
      <c r="EZ22" s="65"/>
      <c r="FA22" s="65"/>
      <c r="FB22" s="65"/>
      <c r="FC22" s="65"/>
      <c r="FD22" s="65"/>
      <c r="FE22" s="65"/>
      <c r="FF22" s="65"/>
      <c r="FG22" s="66"/>
      <c r="FH22" s="66"/>
      <c r="FI22" s="67"/>
    </row>
    <row r="23" spans="1:165" s="2" customFormat="1" ht="15.4" customHeight="1" x14ac:dyDescent="0.45">
      <c r="A23" s="1"/>
      <c r="B23" s="74" t="s">
        <v>21</v>
      </c>
      <c r="C23" s="74"/>
      <c r="D23" s="74"/>
      <c r="E23" s="74"/>
      <c r="F23" s="74"/>
      <c r="G23" s="74"/>
      <c r="H23" s="74"/>
      <c r="I23" s="74"/>
      <c r="J23" s="53">
        <v>0</v>
      </c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>
        <v>0</v>
      </c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>
        <v>0</v>
      </c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>
        <v>0</v>
      </c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>
        <v>0</v>
      </c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>
        <v>0</v>
      </c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>
        <v>0</v>
      </c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>
        <v>0</v>
      </c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>
        <v>0</v>
      </c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>
        <v>0</v>
      </c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>
        <v>0</v>
      </c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>
        <v>0</v>
      </c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>
        <v>0</v>
      </c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</row>
    <row r="24" spans="1:165" s="6" customFormat="1" x14ac:dyDescent="0.4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</row>
    <row r="25" spans="1:165" s="6" customFormat="1" x14ac:dyDescent="0.4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</row>
    <row r="26" spans="1:165" s="6" customFormat="1" x14ac:dyDescent="0.4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</row>
    <row r="27" spans="1:165" s="6" customFormat="1" x14ac:dyDescent="0.4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</row>
    <row r="28" spans="1:165" s="6" customFormat="1" x14ac:dyDescent="0.4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</row>
    <row r="29" spans="1:165" s="6" customFormat="1" x14ac:dyDescent="0.4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</row>
    <row r="30" spans="1:165" s="6" customFormat="1" x14ac:dyDescent="0.4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</row>
    <row r="31" spans="1:165" s="6" customFormat="1" x14ac:dyDescent="0.4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</row>
    <row r="32" spans="1:165" s="6" customFormat="1" x14ac:dyDescent="0.4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</row>
    <row r="33" spans="2:165" s="6" customFormat="1" x14ac:dyDescent="0.4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</row>
    <row r="34" spans="2:165" s="6" customFormat="1" x14ac:dyDescent="0.4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</row>
    <row r="35" spans="2:165" s="6" customFormat="1" x14ac:dyDescent="0.4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</row>
    <row r="36" spans="2:165" s="6" customFormat="1" x14ac:dyDescent="0.4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</row>
    <row r="37" spans="2:165" s="6" customFormat="1" x14ac:dyDescent="0.4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</row>
    <row r="38" spans="2:165" s="6" customFormat="1" x14ac:dyDescent="0.4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</row>
    <row r="39" spans="2:165" s="6" customFormat="1" x14ac:dyDescent="0.4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</row>
    <row r="40" spans="2:165" s="6" customFormat="1" x14ac:dyDescent="0.4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</row>
    <row r="41" spans="2:165" s="6" customFormat="1" x14ac:dyDescent="0.4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</row>
    <row r="42" spans="2:165" s="6" customFormat="1" x14ac:dyDescent="0.4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</row>
    <row r="43" spans="2:165" s="6" customFormat="1" x14ac:dyDescent="0.4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</row>
    <row r="44" spans="2:165" s="6" customFormat="1" x14ac:dyDescent="0.4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</row>
    <row r="45" spans="2:165" s="6" customFormat="1" x14ac:dyDescent="0.4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</row>
    <row r="46" spans="2:165" s="6" customFormat="1" x14ac:dyDescent="0.4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</row>
  </sheetData>
  <mergeCells count="45">
    <mergeCell ref="DB22:DM22"/>
    <mergeCell ref="DB2:DM2"/>
    <mergeCell ref="CP2:DA2"/>
    <mergeCell ref="BF2:BQ2"/>
    <mergeCell ref="V2:AG2"/>
    <mergeCell ref="CP22:DA22"/>
    <mergeCell ref="CD2:CO2"/>
    <mergeCell ref="CD22:CO22"/>
    <mergeCell ref="BR2:CC2"/>
    <mergeCell ref="BR22:CC22"/>
    <mergeCell ref="BF22:BQ22"/>
    <mergeCell ref="AT2:BE2"/>
    <mergeCell ref="AT22:BE22"/>
    <mergeCell ref="AH2:AS2"/>
    <mergeCell ref="AH22:AS22"/>
    <mergeCell ref="V22:AG22"/>
    <mergeCell ref="DN22:DY22"/>
    <mergeCell ref="DZ22:EK22"/>
    <mergeCell ref="EL22:EW22"/>
    <mergeCell ref="EL2:EW2"/>
    <mergeCell ref="EX2:FI2"/>
    <mergeCell ref="EX22:FI22"/>
    <mergeCell ref="DZ2:EK2"/>
    <mergeCell ref="DN2:DY2"/>
    <mergeCell ref="B2:B3"/>
    <mergeCell ref="C2:C3"/>
    <mergeCell ref="AH23:AS23"/>
    <mergeCell ref="AT23:BE23"/>
    <mergeCell ref="J2:U2"/>
    <mergeCell ref="J22:U22"/>
    <mergeCell ref="J23:U23"/>
    <mergeCell ref="V23:AG23"/>
    <mergeCell ref="D2:I2"/>
    <mergeCell ref="D22:I22"/>
    <mergeCell ref="B22:C22"/>
    <mergeCell ref="B23:I23"/>
    <mergeCell ref="BF23:BQ23"/>
    <mergeCell ref="BR23:CC23"/>
    <mergeCell ref="CD23:CO23"/>
    <mergeCell ref="EX23:FI23"/>
    <mergeCell ref="CP23:DA23"/>
    <mergeCell ref="DB23:DM23"/>
    <mergeCell ref="DN23:DY23"/>
    <mergeCell ref="DZ23:EK23"/>
    <mergeCell ref="EL23:EW23"/>
  </mergeCells>
  <pageMargins left="0.25" right="0.25" top="0.75" bottom="0.75" header="0.3" footer="0.3"/>
  <pageSetup scale="62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Calificacion!Print_Area</vt:lpstr>
      <vt:lpstr>Detalle!Print_Area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2024-08-24T15:36:02Z</cp:lastPrinted>
  <dcterms:created xsi:type="dcterms:W3CDTF">2018-11-28T14:19:17Z</dcterms:created>
  <dcterms:modified xsi:type="dcterms:W3CDTF">2025-08-04T22:16:20Z</dcterms:modified>
</cp:coreProperties>
</file>