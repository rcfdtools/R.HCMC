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3\"/>
    </mc:Choice>
  </mc:AlternateContent>
  <xr:revisionPtr revIDLastSave="0" documentId="13_ncr:1_{3535A4DF-4E29-455F-9937-784BF28007A5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AM18" i="10"/>
  <c r="D17" i="12" s="1"/>
  <c r="F17" i="12" s="1"/>
  <c r="AJ18" i="10"/>
  <c r="D16" i="12" s="1"/>
  <c r="F16" i="12" s="1"/>
  <c r="AG18" i="10"/>
  <c r="D15" i="12" s="1"/>
  <c r="F15" i="12" s="1"/>
  <c r="AD18" i="10"/>
  <c r="D14" i="12" s="1"/>
  <c r="F14" i="12" s="1"/>
  <c r="AA18" i="10"/>
  <c r="D13" i="12" s="1"/>
  <c r="F13" i="12" s="1"/>
  <c r="X18" i="10"/>
  <c r="D12" i="12" s="1"/>
  <c r="F12" i="12" s="1"/>
  <c r="U18" i="10"/>
  <c r="D11" i="12" s="1"/>
  <c r="F11" i="12" s="1"/>
  <c r="R18" i="10"/>
  <c r="D10" i="12" s="1"/>
  <c r="F10" i="12" s="1"/>
  <c r="O18" i="10"/>
  <c r="D9" i="12" s="1"/>
  <c r="F9" i="12" s="1"/>
  <c r="L18" i="10"/>
  <c r="D8" i="12" s="1"/>
  <c r="F8" i="12" s="1"/>
  <c r="I18" i="10"/>
  <c r="D7" i="12" s="1"/>
  <c r="F7" i="12" s="1"/>
  <c r="F18" i="10"/>
  <c r="D6" i="12" s="1"/>
  <c r="F6" i="12" s="1"/>
  <c r="AM2" i="10" l="1"/>
  <c r="AJ2" i="10"/>
  <c r="AG2" i="10"/>
  <c r="AD2" i="10"/>
  <c r="AA2" i="10"/>
  <c r="X2" i="10"/>
  <c r="U2" i="10"/>
  <c r="R2" i="10"/>
  <c r="O2" i="10"/>
  <c r="L2" i="10"/>
  <c r="I2" i="10"/>
  <c r="F2" i="10"/>
  <c r="C2" i="10"/>
  <c r="C18" i="10" l="1"/>
  <c r="D5" i="12" s="1"/>
  <c r="F5" i="12" s="1"/>
</calcChain>
</file>

<file path=xl/sharedStrings.xml><?xml version="1.0" encoding="utf-8"?>
<sst xmlns="http://schemas.openxmlformats.org/spreadsheetml/2006/main" count="75" uniqueCount="38">
  <si>
    <t>Observaciones</t>
  </si>
  <si>
    <t>Calificación</t>
  </si>
  <si>
    <t>Código</t>
  </si>
  <si>
    <t>Calificación: 1.3. Trazado del eje de valle y estimación de radios de curvatura para suavizado</t>
  </si>
  <si>
    <t>Requerimiento</t>
  </si>
  <si>
    <t>Capa geográfica puntos eje valle recto</t>
  </si>
  <si>
    <t>Capa geográfica eje recto valle</t>
  </si>
  <si>
    <t>Capa geográfica eje valle suavizado</t>
  </si>
  <si>
    <t>Valores registrados en libro de parámetros</t>
  </si>
  <si>
    <t>Opcional: Método adicional investigado y formulado</t>
  </si>
  <si>
    <t>Valor</t>
  </si>
  <si>
    <t>Longitud eje suavizado del valle usando arcos circulares, m</t>
  </si>
  <si>
    <t>Longitud eje recto valle, m</t>
  </si>
  <si>
    <t>Radio de curvatura suavizado valle, m, con justificación técnica</t>
  </si>
  <si>
    <t>A partir del eje suavizado del valle, cree un buffer de 1 km de ancho con terminaciones redondeadas y a partir del Atlas Geológico Colombia del año 2020, realice un recorte y analice las formaciones geológicas presentes dentro del buffer e indique que consideraciones de diseño y construcción se deben tener en cuenta. Incluya mapas detallados en el documento soporte.</t>
  </si>
  <si>
    <t>A partir del eje suavizado del valle, y a través de un análisis de proximidad con el Atlas Geológico Colombia del año 2020, identifique las fallas geológicas que están cerca o sobre el eje. Analice y presente recomendaciones. Incluya mapas detallados en el documento soporte.</t>
  </si>
  <si>
    <t>Opcional: Verificación de formulación en libro de diseño</t>
  </si>
  <si>
    <t>Calificación final</t>
  </si>
  <si>
    <t>Calificación profesor</t>
  </si>
  <si>
    <t>Calificar sobre</t>
  </si>
  <si>
    <t>Autocalificación alumno</t>
  </si>
  <si>
    <t>Grupo 1</t>
  </si>
  <si>
    <t>Grupo 2</t>
  </si>
  <si>
    <t>Grupo 3</t>
  </si>
  <si>
    <t>Grupo 4</t>
  </si>
  <si>
    <t>Grupo 5</t>
  </si>
  <si>
    <t>https://github.com/rcfdtools/R.HCMC/blob/main/activity/M01A03/Readme.md</t>
  </si>
  <si>
    <t>M01A03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</si>
  <si>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</si>
  <si>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</si>
  <si>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</si>
  <si>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</si>
  <si>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</si>
  <si>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</si>
  <si>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</si>
  <si>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</si>
  <si>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Realizar el suavizado del valle usando arcos circulares y medir su longitud. Formato shapefile con georeferenciación, formato Autodesk AutoCAD y formato como alineamiento Autodesk Civil 3D. En el informe compare las longitudes obtenidas y explique las diferencias.</t>
  </si>
  <si>
    <t>Capas geográficas en /file/shp/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</si>
</sst>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u/>
      <sz val="11"/>
      <color theme="10"/>
      <name val="Calibri"/>
      <family val="2"/>
      <scheme val="minor"/>
    </font>
    <font>
      <sz val="10"/>
      <color theme="10"/>
      <name val="Segoe UI Light"/>
      <family val="2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6" fillId="0" borderId="0" xfId="3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64" fontId="6" fillId="2" borderId="9" xfId="0" applyNumberFormat="1" applyFont="1" applyFill="1" applyBorder="1" applyAlignment="1">
      <alignment horizontal="left" vertical="top" wrapText="1"/>
    </xf>
    <xf numFmtId="0" fontId="7" fillId="0" borderId="0" xfId="1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3" applyFont="1" applyAlignment="1">
      <alignment horizontal="right" vertical="top"/>
    </xf>
    <xf numFmtId="0" fontId="6" fillId="2" borderId="3" xfId="0" applyFont="1" applyFill="1" applyBorder="1" applyAlignment="1">
      <alignment horizontal="center" vertical="top" wrapText="1"/>
    </xf>
    <xf numFmtId="164" fontId="6" fillId="0" borderId="8" xfId="0" applyNumberFormat="1" applyFont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vertical="top"/>
    </xf>
    <xf numFmtId="0" fontId="5" fillId="0" borderId="3" xfId="0" applyFont="1" applyBorder="1" applyAlignment="1">
      <alignment horizontal="center" vertical="top"/>
    </xf>
    <xf numFmtId="2" fontId="6" fillId="0" borderId="4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2" fontId="6" fillId="0" borderId="14" xfId="0" applyNumberFormat="1" applyFont="1" applyBorder="1" applyAlignment="1">
      <alignment horizontal="center" vertical="top" wrapText="1"/>
    </xf>
    <xf numFmtId="2" fontId="6" fillId="0" borderId="15" xfId="0" applyNumberFormat="1" applyFont="1" applyBorder="1" applyAlignment="1">
      <alignment horizontal="center" vertical="top" wrapText="1"/>
    </xf>
    <xf numFmtId="0" fontId="9" fillId="0" borderId="0" xfId="5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2" fontId="6" fillId="2" borderId="5" xfId="0" applyNumberFormat="1" applyFont="1" applyFill="1" applyBorder="1" applyAlignment="1">
      <alignment horizontal="center" vertical="top" wrapText="1"/>
    </xf>
    <xf numFmtId="2" fontId="6" fillId="2" borderId="12" xfId="0" applyNumberFormat="1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10" fillId="0" borderId="0" xfId="5" applyFont="1" applyBorder="1" applyAlignment="1">
      <alignment vertical="top" wrapText="1"/>
    </xf>
    <xf numFmtId="0" fontId="10" fillId="0" borderId="17" xfId="5" applyFont="1" applyBorder="1" applyAlignment="1">
      <alignment horizontal="left" vertical="top"/>
    </xf>
    <xf numFmtId="0" fontId="12" fillId="0" borderId="0" xfId="0" applyFont="1" applyAlignment="1">
      <alignment horizontal="right" vertical="top"/>
    </xf>
    <xf numFmtId="2" fontId="13" fillId="0" borderId="14" xfId="0" applyNumberFormat="1" applyFont="1" applyBorder="1" applyAlignment="1">
      <alignment horizontal="center" vertical="top"/>
    </xf>
    <xf numFmtId="2" fontId="13" fillId="0" borderId="15" xfId="0" applyNumberFormat="1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3" fillId="0" borderId="15" xfId="0" applyFont="1" applyBorder="1" applyAlignment="1">
      <alignment horizontal="center" vertical="top"/>
    </xf>
    <xf numFmtId="2" fontId="13" fillId="0" borderId="3" xfId="0" applyNumberFormat="1" applyFont="1" applyBorder="1" applyAlignment="1" applyProtection="1">
      <alignment horizontal="center" vertical="top" wrapText="1"/>
      <protection locked="0"/>
    </xf>
    <xf numFmtId="2" fontId="13" fillId="0" borderId="11" xfId="0" applyNumberFormat="1" applyFont="1" applyBorder="1" applyAlignment="1" applyProtection="1">
      <alignment horizontal="center" vertical="top" wrapText="1"/>
      <protection locked="0"/>
    </xf>
    <xf numFmtId="2" fontId="13" fillId="0" borderId="4" xfId="0" applyNumberFormat="1" applyFont="1" applyBorder="1" applyAlignment="1">
      <alignment horizontal="left" vertical="top" wrapText="1"/>
    </xf>
  </cellXfs>
  <cellStyles count="6">
    <cellStyle name="Hipervínculo 2" xfId="1" xr:uid="{31AB4584-48B5-483C-8AA6-C2DF10B27C24}"/>
    <cellStyle name="Hyperlink" xfId="5" builtinId="8"/>
    <cellStyle name="Millares 2" xfId="4" xr:uid="{B2346456-3EA3-414B-995D-FAA581EEA6A8}"/>
    <cellStyle name="Normal" xfId="0" builtinId="0"/>
    <cellStyle name="Normal 2" xfId="3" xr:uid="{5BE8A7FD-F8F9-4363-89EA-43A3CEB9DCAE}"/>
    <cellStyle name="Normal 3" xfId="2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1.3. Trazado del eje de valle y estimación de radios de curvatura para suavizado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5141993464052286"/>
          <c:w val="0.83492607174103239"/>
          <c:h val="0.5185878391510779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layout>
            <c:manualLayout>
              <c:xMode val="edge"/>
              <c:yMode val="edge"/>
              <c:x val="0.50880564735925116"/>
              <c:y val="0.89933224848760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103106</xdr:colOff>
      <xdr:row>3</xdr:row>
      <xdr:rowOff>30637</xdr:rowOff>
    </xdr:from>
    <xdr:to>
      <xdr:col>14</xdr:col>
      <xdr:colOff>195731</xdr:colOff>
      <xdr:row>17</xdr:row>
      <xdr:rowOff>163106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3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0"/>
  <sheetViews>
    <sheetView showGridLines="0" tabSelected="1" zoomScale="160" zoomScaleNormal="160" workbookViewId="0">
      <selection activeCell="D19" sqref="D19"/>
    </sheetView>
  </sheetViews>
  <sheetFormatPr defaultColWidth="11.33203125" defaultRowHeight="16.5" x14ac:dyDescent="0.45"/>
  <cols>
    <col min="1" max="1" width="2.6640625" style="11" customWidth="1"/>
    <col min="2" max="2" width="19.53125" style="11" customWidth="1"/>
    <col min="3" max="4" width="11.1328125" style="11" customWidth="1"/>
    <col min="5" max="5" width="14" style="11" customWidth="1"/>
    <col min="6" max="6" width="11.1328125" style="11" customWidth="1"/>
    <col min="7" max="7" width="2.6640625" style="11" customWidth="1"/>
    <col min="8" max="16384" width="11.33203125" style="11"/>
  </cols>
  <sheetData>
    <row r="1" spans="2:6" x14ac:dyDescent="0.45">
      <c r="F1" s="36" t="s">
        <v>27</v>
      </c>
    </row>
    <row r="2" spans="2:6" ht="16.5" customHeight="1" x14ac:dyDescent="0.45">
      <c r="B2" s="24" t="s">
        <v>3</v>
      </c>
      <c r="C2" s="24"/>
      <c r="D2" s="24"/>
      <c r="E2" s="24"/>
      <c r="F2" s="24"/>
    </row>
    <row r="3" spans="2:6" ht="16.5" customHeight="1" x14ac:dyDescent="0.45">
      <c r="B3" s="25"/>
      <c r="C3" s="25"/>
      <c r="D3" s="25"/>
      <c r="E3" s="25"/>
      <c r="F3" s="25"/>
    </row>
    <row r="4" spans="2:6" ht="31.5" customHeight="1" x14ac:dyDescent="0.45">
      <c r="B4" s="20" t="s">
        <v>2</v>
      </c>
      <c r="C4" s="18" t="s">
        <v>19</v>
      </c>
      <c r="D4" s="18" t="s">
        <v>18</v>
      </c>
      <c r="E4" s="18" t="s">
        <v>20</v>
      </c>
      <c r="F4" s="19" t="s">
        <v>17</v>
      </c>
    </row>
    <row r="5" spans="2:6" x14ac:dyDescent="0.45">
      <c r="B5" s="12" t="s">
        <v>21</v>
      </c>
      <c r="C5" s="37">
        <v>5</v>
      </c>
      <c r="D5" s="21">
        <f>Detalle!C18*C5/5</f>
        <v>0</v>
      </c>
      <c r="E5" s="37">
        <v>5</v>
      </c>
      <c r="F5" s="13">
        <f>AVERAGE(D5:E5)</f>
        <v>2.5</v>
      </c>
    </row>
    <row r="6" spans="2:6" x14ac:dyDescent="0.45">
      <c r="B6" s="12" t="s">
        <v>22</v>
      </c>
      <c r="C6" s="37">
        <v>5</v>
      </c>
      <c r="D6" s="21">
        <f>Detalle!F18*C6/5</f>
        <v>0</v>
      </c>
      <c r="E6" s="37"/>
      <c r="F6" s="13">
        <f t="shared" ref="F6:F17" si="0">AVERAGE(D6:E6)</f>
        <v>0</v>
      </c>
    </row>
    <row r="7" spans="2:6" x14ac:dyDescent="0.45">
      <c r="B7" s="12" t="s">
        <v>23</v>
      </c>
      <c r="C7" s="37">
        <v>5</v>
      </c>
      <c r="D7" s="21">
        <f>Detalle!I18*C7/5</f>
        <v>0</v>
      </c>
      <c r="E7" s="37"/>
      <c r="F7" s="13">
        <f t="shared" si="0"/>
        <v>0</v>
      </c>
    </row>
    <row r="8" spans="2:6" x14ac:dyDescent="0.45">
      <c r="B8" s="12" t="s">
        <v>24</v>
      </c>
      <c r="C8" s="37">
        <v>5</v>
      </c>
      <c r="D8" s="21">
        <f>Detalle!L18*C8/5</f>
        <v>0</v>
      </c>
      <c r="E8" s="37"/>
      <c r="F8" s="13">
        <f t="shared" si="0"/>
        <v>0</v>
      </c>
    </row>
    <row r="9" spans="2:6" x14ac:dyDescent="0.45">
      <c r="B9" s="12" t="s">
        <v>25</v>
      </c>
      <c r="C9" s="37">
        <v>5</v>
      </c>
      <c r="D9" s="21">
        <f>Detalle!O18*C9/5</f>
        <v>0</v>
      </c>
      <c r="E9" s="37"/>
      <c r="F9" s="13">
        <f t="shared" si="0"/>
        <v>0</v>
      </c>
    </row>
    <row r="10" spans="2:6" x14ac:dyDescent="0.45">
      <c r="B10" s="12" t="s">
        <v>28</v>
      </c>
      <c r="C10" s="37">
        <v>5</v>
      </c>
      <c r="D10" s="21">
        <f>Detalle!R18*C10/5</f>
        <v>0</v>
      </c>
      <c r="E10" s="37"/>
      <c r="F10" s="13">
        <f t="shared" si="0"/>
        <v>0</v>
      </c>
    </row>
    <row r="11" spans="2:6" x14ac:dyDescent="0.45">
      <c r="B11" s="12" t="s">
        <v>29</v>
      </c>
      <c r="C11" s="37">
        <v>5</v>
      </c>
      <c r="D11" s="21">
        <f>Detalle!U18*C11/5</f>
        <v>0</v>
      </c>
      <c r="E11" s="37"/>
      <c r="F11" s="13">
        <f t="shared" si="0"/>
        <v>0</v>
      </c>
    </row>
    <row r="12" spans="2:6" x14ac:dyDescent="0.45">
      <c r="B12" s="12" t="s">
        <v>30</v>
      </c>
      <c r="C12" s="37">
        <v>5</v>
      </c>
      <c r="D12" s="21">
        <f>Detalle!X18*C12/5</f>
        <v>0</v>
      </c>
      <c r="E12" s="37"/>
      <c r="F12" s="13">
        <f t="shared" si="0"/>
        <v>0</v>
      </c>
    </row>
    <row r="13" spans="2:6" x14ac:dyDescent="0.45">
      <c r="B13" s="12" t="s">
        <v>31</v>
      </c>
      <c r="C13" s="37">
        <v>5</v>
      </c>
      <c r="D13" s="21">
        <f>Detalle!AA18*C13/5</f>
        <v>0</v>
      </c>
      <c r="E13" s="37"/>
      <c r="F13" s="13">
        <f t="shared" si="0"/>
        <v>0</v>
      </c>
    </row>
    <row r="14" spans="2:6" x14ac:dyDescent="0.45">
      <c r="B14" s="12" t="s">
        <v>32</v>
      </c>
      <c r="C14" s="37">
        <v>5</v>
      </c>
      <c r="D14" s="21">
        <f>Detalle!AD18*C14/5</f>
        <v>0</v>
      </c>
      <c r="E14" s="39"/>
      <c r="F14" s="13">
        <f t="shared" si="0"/>
        <v>0</v>
      </c>
    </row>
    <row r="15" spans="2:6" x14ac:dyDescent="0.45">
      <c r="B15" s="12" t="s">
        <v>33</v>
      </c>
      <c r="C15" s="37">
        <v>5</v>
      </c>
      <c r="D15" s="21">
        <f>Detalle!AG18*C15/5</f>
        <v>0</v>
      </c>
      <c r="E15" s="39"/>
      <c r="F15" s="13">
        <f t="shared" si="0"/>
        <v>0</v>
      </c>
    </row>
    <row r="16" spans="2:6" x14ac:dyDescent="0.45">
      <c r="B16" s="12" t="s">
        <v>34</v>
      </c>
      <c r="C16" s="37">
        <v>5</v>
      </c>
      <c r="D16" s="21">
        <f>Detalle!AJ18*C16/5</f>
        <v>0</v>
      </c>
      <c r="E16" s="39"/>
      <c r="F16" s="13">
        <f t="shared" si="0"/>
        <v>0</v>
      </c>
    </row>
    <row r="17" spans="2:6" x14ac:dyDescent="0.45">
      <c r="B17" s="14" t="s">
        <v>35</v>
      </c>
      <c r="C17" s="38">
        <v>5</v>
      </c>
      <c r="D17" s="22">
        <f>Detalle!AM18*C17/5</f>
        <v>0</v>
      </c>
      <c r="E17" s="40"/>
      <c r="F17" s="15">
        <f t="shared" si="0"/>
        <v>0</v>
      </c>
    </row>
    <row r="18" spans="2:6" ht="16.5" customHeight="1" x14ac:dyDescent="0.45">
      <c r="B18" s="35" t="s">
        <v>26</v>
      </c>
      <c r="C18" s="35"/>
      <c r="D18" s="35"/>
      <c r="E18" s="35"/>
      <c r="F18" s="35"/>
    </row>
    <row r="19" spans="2:6" x14ac:dyDescent="0.45">
      <c r="B19" s="34"/>
      <c r="C19" s="34"/>
      <c r="D19" s="34"/>
      <c r="E19" s="34"/>
      <c r="F19" s="34"/>
    </row>
    <row r="20" spans="2:6" x14ac:dyDescent="0.45">
      <c r="B20" s="23"/>
      <c r="C20" s="23"/>
      <c r="D20" s="23"/>
      <c r="E20" s="23"/>
      <c r="F20" s="23"/>
    </row>
  </sheetData>
  <mergeCells count="1">
    <mergeCell ref="B2:F3"/>
  </mergeCells>
  <phoneticPr fontId="11" type="noConversion"/>
  <hyperlinks>
    <hyperlink ref="B18" r:id="rId1" xr:uid="{ECF89616-0CD4-4782-AB7D-5EC340FCE9E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>
    <pageSetUpPr fitToPage="1"/>
  </sheetPr>
  <dimension ref="A1:AO54"/>
  <sheetViews>
    <sheetView showGridLines="0" zoomScale="130" zoomScaleNormal="13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B20" sqref="B20"/>
    </sheetView>
  </sheetViews>
  <sheetFormatPr defaultColWidth="11.33203125" defaultRowHeight="15.4" x14ac:dyDescent="0.45"/>
  <cols>
    <col min="1" max="1" width="2.6640625" style="8" customWidth="1"/>
    <col min="2" max="2" width="52.86328125" style="7" customWidth="1"/>
    <col min="3" max="3" width="11.6640625" style="6" customWidth="1"/>
    <col min="4" max="4" width="10.6640625" style="6" customWidth="1"/>
    <col min="5" max="5" width="50.6640625" style="6" customWidth="1"/>
    <col min="6" max="6" width="11.6640625" style="6" customWidth="1"/>
    <col min="7" max="7" width="10.6640625" style="6" customWidth="1"/>
    <col min="8" max="8" width="50.6640625" style="6" customWidth="1"/>
    <col min="9" max="9" width="11.6640625" style="6" customWidth="1"/>
    <col min="10" max="10" width="10.6640625" style="6" customWidth="1"/>
    <col min="11" max="11" width="50.6640625" style="6" customWidth="1"/>
    <col min="12" max="12" width="11.6640625" style="6" customWidth="1"/>
    <col min="13" max="13" width="10.6640625" style="6" customWidth="1"/>
    <col min="14" max="14" width="50.6640625" style="6" customWidth="1"/>
    <col min="15" max="15" width="11.6640625" style="6" customWidth="1"/>
    <col min="16" max="16" width="10.6640625" style="6" customWidth="1"/>
    <col min="17" max="17" width="50.6640625" style="6" customWidth="1"/>
    <col min="18" max="18" width="11.6640625" style="6" customWidth="1"/>
    <col min="19" max="19" width="10.6640625" style="6" customWidth="1"/>
    <col min="20" max="20" width="50.6640625" style="6" customWidth="1"/>
    <col min="21" max="21" width="11.6640625" style="6" customWidth="1"/>
    <col min="22" max="22" width="10.6640625" style="6" customWidth="1"/>
    <col min="23" max="23" width="50.6640625" style="6" customWidth="1"/>
    <col min="24" max="24" width="11.6640625" style="6" customWidth="1"/>
    <col min="25" max="25" width="10.6640625" style="6" customWidth="1"/>
    <col min="26" max="26" width="50.6640625" style="6" customWidth="1"/>
    <col min="27" max="27" width="11.6640625" style="6" customWidth="1"/>
    <col min="28" max="28" width="10.6640625" style="6" customWidth="1"/>
    <col min="29" max="29" width="50.6640625" style="6" customWidth="1"/>
    <col min="30" max="30" width="11.6640625" style="6" customWidth="1"/>
    <col min="31" max="31" width="10.6640625" style="6" customWidth="1"/>
    <col min="32" max="32" width="50.6640625" style="6" customWidth="1"/>
    <col min="33" max="33" width="11.6640625" style="6" customWidth="1"/>
    <col min="34" max="34" width="10.6640625" style="6" customWidth="1"/>
    <col min="35" max="35" width="50.6640625" style="6" customWidth="1"/>
    <col min="36" max="36" width="11.6640625" style="6" customWidth="1"/>
    <col min="37" max="37" width="10.6640625" style="6" customWidth="1"/>
    <col min="38" max="38" width="50.6640625" style="6" customWidth="1"/>
    <col min="39" max="39" width="11.6640625" style="6" customWidth="1"/>
    <col min="40" max="40" width="10.6640625" style="6" customWidth="1"/>
    <col min="41" max="41" width="50.6640625" style="6" customWidth="1"/>
    <col min="42" max="16384" width="11.33203125" style="7"/>
  </cols>
  <sheetData>
    <row r="1" spans="1:41" x14ac:dyDescent="0.45">
      <c r="A1" s="4"/>
      <c r="B1" s="5" t="str">
        <f>Calificacion!B2</f>
        <v>Calificación: 1.3. Trazado del eje de valle y estimación de radios de curvatura para suavizado</v>
      </c>
    </row>
    <row r="2" spans="1:41" s="5" customFormat="1" x14ac:dyDescent="0.45">
      <c r="A2" s="8"/>
      <c r="B2" s="26" t="s">
        <v>4</v>
      </c>
      <c r="C2" s="31" t="str">
        <f>Calificacion!$B5</f>
        <v>Grupo 1</v>
      </c>
      <c r="D2" s="32"/>
      <c r="E2" s="33"/>
      <c r="F2" s="31" t="str">
        <f>Calificacion!$B6</f>
        <v>Grupo 2</v>
      </c>
      <c r="G2" s="32"/>
      <c r="H2" s="33"/>
      <c r="I2" s="31" t="str">
        <f>Calificacion!$B7</f>
        <v>Grupo 3</v>
      </c>
      <c r="J2" s="32"/>
      <c r="K2" s="33"/>
      <c r="L2" s="31" t="str">
        <f>Calificacion!$B8</f>
        <v>Grupo 4</v>
      </c>
      <c r="M2" s="32"/>
      <c r="N2" s="33"/>
      <c r="O2" s="31" t="str">
        <f>Calificacion!$B9</f>
        <v>Grupo 5</v>
      </c>
      <c r="P2" s="32"/>
      <c r="Q2" s="33"/>
      <c r="R2" s="31" t="str">
        <f>Calificacion!$B10</f>
        <v>Grupo 6</v>
      </c>
      <c r="S2" s="32"/>
      <c r="T2" s="33"/>
      <c r="U2" s="31" t="str">
        <f>Calificacion!$B11</f>
        <v>Grupo 7</v>
      </c>
      <c r="V2" s="32"/>
      <c r="W2" s="33"/>
      <c r="X2" s="31" t="str">
        <f>Calificacion!$B12</f>
        <v>Grupo 8</v>
      </c>
      <c r="Y2" s="32"/>
      <c r="Z2" s="33"/>
      <c r="AA2" s="31" t="str">
        <f>Calificacion!$B13</f>
        <v>Grupo 9</v>
      </c>
      <c r="AB2" s="32"/>
      <c r="AC2" s="33"/>
      <c r="AD2" s="31" t="str">
        <f>Calificacion!$B14</f>
        <v>Grupo 10</v>
      </c>
      <c r="AE2" s="32"/>
      <c r="AF2" s="33"/>
      <c r="AG2" s="31" t="str">
        <f>Calificacion!$B15</f>
        <v>Grupo 11</v>
      </c>
      <c r="AH2" s="32"/>
      <c r="AI2" s="33"/>
      <c r="AJ2" s="31" t="str">
        <f>Calificacion!$B16</f>
        <v>Grupo 12</v>
      </c>
      <c r="AK2" s="32"/>
      <c r="AL2" s="33"/>
      <c r="AM2" s="31" t="str">
        <f>Calificacion!$B17</f>
        <v>Grupo 13</v>
      </c>
      <c r="AN2" s="32"/>
      <c r="AO2" s="33"/>
    </row>
    <row r="3" spans="1:41" x14ac:dyDescent="0.45">
      <c r="B3" s="27"/>
      <c r="C3" s="9" t="s">
        <v>1</v>
      </c>
      <c r="D3" s="16" t="s">
        <v>10</v>
      </c>
      <c r="E3" s="17" t="s">
        <v>0</v>
      </c>
      <c r="F3" s="9" t="s">
        <v>1</v>
      </c>
      <c r="G3" s="16" t="s">
        <v>10</v>
      </c>
      <c r="H3" s="17" t="s">
        <v>0</v>
      </c>
      <c r="I3" s="9" t="s">
        <v>1</v>
      </c>
      <c r="J3" s="16" t="s">
        <v>10</v>
      </c>
      <c r="K3" s="17" t="s">
        <v>0</v>
      </c>
      <c r="L3" s="9" t="s">
        <v>1</v>
      </c>
      <c r="M3" s="16" t="s">
        <v>10</v>
      </c>
      <c r="N3" s="17" t="s">
        <v>0</v>
      </c>
      <c r="O3" s="9" t="s">
        <v>1</v>
      </c>
      <c r="P3" s="16" t="s">
        <v>10</v>
      </c>
      <c r="Q3" s="17" t="s">
        <v>0</v>
      </c>
      <c r="R3" s="9" t="s">
        <v>1</v>
      </c>
      <c r="S3" s="16" t="s">
        <v>10</v>
      </c>
      <c r="T3" s="17" t="s">
        <v>0</v>
      </c>
      <c r="U3" s="9" t="s">
        <v>1</v>
      </c>
      <c r="V3" s="16" t="s">
        <v>10</v>
      </c>
      <c r="W3" s="17" t="s">
        <v>0</v>
      </c>
      <c r="X3" s="9" t="s">
        <v>1</v>
      </c>
      <c r="Y3" s="16" t="s">
        <v>10</v>
      </c>
      <c r="Z3" s="17" t="s">
        <v>0</v>
      </c>
      <c r="AA3" s="9" t="s">
        <v>1</v>
      </c>
      <c r="AB3" s="16" t="s">
        <v>10</v>
      </c>
      <c r="AC3" s="17" t="s">
        <v>0</v>
      </c>
      <c r="AD3" s="9" t="s">
        <v>1</v>
      </c>
      <c r="AE3" s="16" t="s">
        <v>10</v>
      </c>
      <c r="AF3" s="17" t="s">
        <v>0</v>
      </c>
      <c r="AG3" s="9" t="s">
        <v>1</v>
      </c>
      <c r="AH3" s="16" t="s">
        <v>10</v>
      </c>
      <c r="AI3" s="17" t="s">
        <v>0</v>
      </c>
      <c r="AJ3" s="9" t="s">
        <v>1</v>
      </c>
      <c r="AK3" s="16" t="s">
        <v>10</v>
      </c>
      <c r="AL3" s="17" t="s">
        <v>0</v>
      </c>
      <c r="AM3" s="9" t="s">
        <v>1</v>
      </c>
      <c r="AN3" s="16" t="s">
        <v>10</v>
      </c>
      <c r="AO3" s="17" t="s">
        <v>0</v>
      </c>
    </row>
    <row r="4" spans="1:41" x14ac:dyDescent="0.45">
      <c r="B4" s="10" t="s">
        <v>5</v>
      </c>
      <c r="C4" s="41">
        <v>0</v>
      </c>
      <c r="D4" s="42"/>
      <c r="E4" s="43"/>
      <c r="F4" s="41">
        <v>0</v>
      </c>
      <c r="G4" s="42"/>
      <c r="H4" s="43"/>
      <c r="I4" s="41">
        <v>0</v>
      </c>
      <c r="J4" s="42"/>
      <c r="K4" s="43"/>
      <c r="L4" s="41">
        <v>0</v>
      </c>
      <c r="M4" s="42"/>
      <c r="N4" s="43"/>
      <c r="O4" s="41">
        <v>0</v>
      </c>
      <c r="P4" s="42"/>
      <c r="Q4" s="43"/>
      <c r="R4" s="41">
        <v>0</v>
      </c>
      <c r="S4" s="42"/>
      <c r="T4" s="43"/>
      <c r="U4" s="41">
        <v>0</v>
      </c>
      <c r="V4" s="42"/>
      <c r="W4" s="43"/>
      <c r="X4" s="41">
        <v>0</v>
      </c>
      <c r="Y4" s="42"/>
      <c r="Z4" s="43"/>
      <c r="AA4" s="41">
        <v>0</v>
      </c>
      <c r="AB4" s="42"/>
      <c r="AC4" s="43"/>
      <c r="AD4" s="41">
        <v>0</v>
      </c>
      <c r="AE4" s="42"/>
      <c r="AF4" s="43"/>
      <c r="AG4" s="41">
        <v>0</v>
      </c>
      <c r="AH4" s="42"/>
      <c r="AI4" s="43"/>
      <c r="AJ4" s="41">
        <v>0</v>
      </c>
      <c r="AK4" s="42"/>
      <c r="AL4" s="43"/>
      <c r="AM4" s="41">
        <v>0</v>
      </c>
      <c r="AN4" s="42"/>
      <c r="AO4" s="43"/>
    </row>
    <row r="5" spans="1:41" x14ac:dyDescent="0.45">
      <c r="B5" s="10" t="s">
        <v>6</v>
      </c>
      <c r="C5" s="41"/>
      <c r="D5" s="42"/>
      <c r="E5" s="43"/>
      <c r="F5" s="41"/>
      <c r="G5" s="42"/>
      <c r="H5" s="43"/>
      <c r="I5" s="41"/>
      <c r="J5" s="42"/>
      <c r="K5" s="43"/>
      <c r="L5" s="41"/>
      <c r="M5" s="42"/>
      <c r="N5" s="43"/>
      <c r="O5" s="41"/>
      <c r="P5" s="42"/>
      <c r="Q5" s="43"/>
      <c r="R5" s="41"/>
      <c r="S5" s="42"/>
      <c r="T5" s="43"/>
      <c r="U5" s="41"/>
      <c r="V5" s="42"/>
      <c r="W5" s="43"/>
      <c r="X5" s="41"/>
      <c r="Y5" s="42"/>
      <c r="Z5" s="43"/>
      <c r="AA5" s="41"/>
      <c r="AB5" s="42"/>
      <c r="AC5" s="43"/>
      <c r="AD5" s="41"/>
      <c r="AE5" s="42"/>
      <c r="AF5" s="43"/>
      <c r="AG5" s="41"/>
      <c r="AH5" s="42"/>
      <c r="AI5" s="43"/>
      <c r="AJ5" s="41"/>
      <c r="AK5" s="42"/>
      <c r="AL5" s="43"/>
      <c r="AM5" s="41"/>
      <c r="AN5" s="42"/>
      <c r="AO5" s="43"/>
    </row>
    <row r="6" spans="1:41" x14ac:dyDescent="0.45">
      <c r="B6" s="10" t="s">
        <v>7</v>
      </c>
      <c r="C6" s="41"/>
      <c r="D6" s="42"/>
      <c r="E6" s="43"/>
      <c r="F6" s="41"/>
      <c r="G6" s="42"/>
      <c r="H6" s="43"/>
      <c r="I6" s="41"/>
      <c r="J6" s="42"/>
      <c r="K6" s="43"/>
      <c r="L6" s="41"/>
      <c r="M6" s="42"/>
      <c r="N6" s="43"/>
      <c r="O6" s="41"/>
      <c r="P6" s="42"/>
      <c r="Q6" s="43"/>
      <c r="R6" s="41"/>
      <c r="S6" s="42"/>
      <c r="T6" s="43"/>
      <c r="U6" s="41"/>
      <c r="V6" s="42"/>
      <c r="W6" s="43"/>
      <c r="X6" s="41"/>
      <c r="Y6" s="42"/>
      <c r="Z6" s="43"/>
      <c r="AA6" s="41"/>
      <c r="AB6" s="42"/>
      <c r="AC6" s="43"/>
      <c r="AD6" s="41"/>
      <c r="AE6" s="42"/>
      <c r="AF6" s="43"/>
      <c r="AG6" s="41"/>
      <c r="AH6" s="42"/>
      <c r="AI6" s="43"/>
      <c r="AJ6" s="41"/>
      <c r="AK6" s="42"/>
      <c r="AL6" s="43"/>
      <c r="AM6" s="41"/>
      <c r="AN6" s="42"/>
      <c r="AO6" s="43"/>
    </row>
    <row r="7" spans="1:41" x14ac:dyDescent="0.45">
      <c r="B7" s="10" t="s">
        <v>13</v>
      </c>
      <c r="C7" s="41"/>
      <c r="D7" s="42"/>
      <c r="E7" s="43"/>
      <c r="F7" s="41"/>
      <c r="G7" s="42"/>
      <c r="H7" s="43"/>
      <c r="I7" s="41"/>
      <c r="J7" s="42"/>
      <c r="K7" s="43"/>
      <c r="L7" s="41"/>
      <c r="M7" s="42"/>
      <c r="N7" s="43"/>
      <c r="O7" s="41"/>
      <c r="P7" s="42"/>
      <c r="Q7" s="43"/>
      <c r="R7" s="41"/>
      <c r="S7" s="42"/>
      <c r="T7" s="43"/>
      <c r="U7" s="41"/>
      <c r="V7" s="42"/>
      <c r="W7" s="43"/>
      <c r="X7" s="41"/>
      <c r="Y7" s="42"/>
      <c r="Z7" s="43"/>
      <c r="AA7" s="41"/>
      <c r="AB7" s="42"/>
      <c r="AC7" s="43"/>
      <c r="AD7" s="41"/>
      <c r="AE7" s="42"/>
      <c r="AF7" s="43"/>
      <c r="AG7" s="41"/>
      <c r="AH7" s="42"/>
      <c r="AI7" s="43"/>
      <c r="AJ7" s="41"/>
      <c r="AK7" s="42"/>
      <c r="AL7" s="43"/>
      <c r="AM7" s="41"/>
      <c r="AN7" s="42"/>
      <c r="AO7" s="43"/>
    </row>
    <row r="8" spans="1:41" x14ac:dyDescent="0.45">
      <c r="B8" s="10" t="s">
        <v>12</v>
      </c>
      <c r="C8" s="41"/>
      <c r="D8" s="42"/>
      <c r="E8" s="43"/>
      <c r="F8" s="41"/>
      <c r="G8" s="42"/>
      <c r="H8" s="43"/>
      <c r="I8" s="41"/>
      <c r="J8" s="42"/>
      <c r="K8" s="43"/>
      <c r="L8" s="41"/>
      <c r="M8" s="42"/>
      <c r="N8" s="43"/>
      <c r="O8" s="41"/>
      <c r="P8" s="42"/>
      <c r="Q8" s="43"/>
      <c r="R8" s="41"/>
      <c r="S8" s="42"/>
      <c r="T8" s="43"/>
      <c r="U8" s="41"/>
      <c r="V8" s="42"/>
      <c r="W8" s="43"/>
      <c r="X8" s="41"/>
      <c r="Y8" s="42"/>
      <c r="Z8" s="43"/>
      <c r="AA8" s="41"/>
      <c r="AB8" s="42"/>
      <c r="AC8" s="43"/>
      <c r="AD8" s="41"/>
      <c r="AE8" s="42"/>
      <c r="AF8" s="43"/>
      <c r="AG8" s="41"/>
      <c r="AH8" s="42"/>
      <c r="AI8" s="43"/>
      <c r="AJ8" s="41"/>
      <c r="AK8" s="42"/>
      <c r="AL8" s="43"/>
      <c r="AM8" s="41"/>
      <c r="AN8" s="42"/>
      <c r="AO8" s="43"/>
    </row>
    <row r="9" spans="1:41" ht="18" customHeight="1" x14ac:dyDescent="0.45">
      <c r="B9" s="10" t="s">
        <v>11</v>
      </c>
      <c r="C9" s="41"/>
      <c r="D9" s="42"/>
      <c r="E9" s="43"/>
      <c r="F9" s="41"/>
      <c r="G9" s="42"/>
      <c r="H9" s="43"/>
      <c r="I9" s="41"/>
      <c r="J9" s="42"/>
      <c r="K9" s="43"/>
      <c r="L9" s="41"/>
      <c r="M9" s="42"/>
      <c r="N9" s="43"/>
      <c r="O9" s="41"/>
      <c r="P9" s="42"/>
      <c r="Q9" s="43"/>
      <c r="R9" s="41"/>
      <c r="S9" s="42"/>
      <c r="T9" s="43"/>
      <c r="U9" s="41"/>
      <c r="V9" s="42"/>
      <c r="W9" s="43"/>
      <c r="X9" s="41"/>
      <c r="Y9" s="42"/>
      <c r="Z9" s="43"/>
      <c r="AA9" s="41"/>
      <c r="AB9" s="42"/>
      <c r="AC9" s="43"/>
      <c r="AD9" s="41"/>
      <c r="AE9" s="42"/>
      <c r="AF9" s="43"/>
      <c r="AG9" s="41"/>
      <c r="AH9" s="42"/>
      <c r="AI9" s="43"/>
      <c r="AJ9" s="41"/>
      <c r="AK9" s="42"/>
      <c r="AL9" s="43"/>
      <c r="AM9" s="41"/>
      <c r="AN9" s="42"/>
      <c r="AO9" s="43"/>
    </row>
    <row r="10" spans="1:41" ht="65.55" customHeight="1" x14ac:dyDescent="0.45">
      <c r="B10" s="10" t="s">
        <v>36</v>
      </c>
      <c r="C10" s="41"/>
      <c r="D10" s="42"/>
      <c r="E10" s="43"/>
      <c r="F10" s="41"/>
      <c r="G10" s="42"/>
      <c r="H10" s="43"/>
      <c r="I10" s="41"/>
      <c r="J10" s="42"/>
      <c r="K10" s="43"/>
      <c r="L10" s="41"/>
      <c r="M10" s="42"/>
      <c r="N10" s="43"/>
      <c r="O10" s="41"/>
      <c r="P10" s="42"/>
      <c r="Q10" s="43"/>
      <c r="R10" s="41"/>
      <c r="S10" s="42"/>
      <c r="T10" s="43"/>
      <c r="U10" s="41"/>
      <c r="V10" s="42"/>
      <c r="W10" s="43"/>
      <c r="X10" s="41"/>
      <c r="Y10" s="42"/>
      <c r="Z10" s="43"/>
      <c r="AA10" s="41"/>
      <c r="AB10" s="42"/>
      <c r="AC10" s="43"/>
      <c r="AD10" s="41"/>
      <c r="AE10" s="42"/>
      <c r="AF10" s="43"/>
      <c r="AG10" s="41"/>
      <c r="AH10" s="42"/>
      <c r="AI10" s="43"/>
      <c r="AJ10" s="41"/>
      <c r="AK10" s="42"/>
      <c r="AL10" s="43"/>
      <c r="AM10" s="41"/>
      <c r="AN10" s="42"/>
      <c r="AO10" s="43"/>
    </row>
    <row r="11" spans="1:41" ht="99.95" customHeight="1" x14ac:dyDescent="0.45">
      <c r="B11" s="10" t="s">
        <v>14</v>
      </c>
      <c r="C11" s="41"/>
      <c r="D11" s="42"/>
      <c r="E11" s="43"/>
      <c r="F11" s="41"/>
      <c r="G11" s="42"/>
      <c r="H11" s="43"/>
      <c r="I11" s="41"/>
      <c r="J11" s="42"/>
      <c r="K11" s="43"/>
      <c r="L11" s="41"/>
      <c r="M11" s="42"/>
      <c r="N11" s="43"/>
      <c r="O11" s="41"/>
      <c r="P11" s="42"/>
      <c r="Q11" s="43"/>
      <c r="R11" s="41"/>
      <c r="S11" s="42"/>
      <c r="T11" s="43"/>
      <c r="U11" s="41"/>
      <c r="V11" s="42"/>
      <c r="W11" s="43"/>
      <c r="X11" s="41"/>
      <c r="Y11" s="42"/>
      <c r="Z11" s="43"/>
      <c r="AA11" s="41"/>
      <c r="AB11" s="42"/>
      <c r="AC11" s="43"/>
      <c r="AD11" s="41"/>
      <c r="AE11" s="42"/>
      <c r="AF11" s="43"/>
      <c r="AG11" s="41"/>
      <c r="AH11" s="42"/>
      <c r="AI11" s="43"/>
      <c r="AJ11" s="41"/>
      <c r="AK11" s="42"/>
      <c r="AL11" s="43"/>
      <c r="AM11" s="41"/>
      <c r="AN11" s="42"/>
      <c r="AO11" s="43"/>
    </row>
    <row r="12" spans="1:41" ht="82.8" customHeight="1" x14ac:dyDescent="0.45">
      <c r="B12" s="10" t="s">
        <v>15</v>
      </c>
      <c r="C12" s="41"/>
      <c r="D12" s="42"/>
      <c r="E12" s="43"/>
      <c r="F12" s="41"/>
      <c r="G12" s="42"/>
      <c r="H12" s="43"/>
      <c r="I12" s="41"/>
      <c r="J12" s="42"/>
      <c r="K12" s="43"/>
      <c r="L12" s="41"/>
      <c r="M12" s="42"/>
      <c r="N12" s="43"/>
      <c r="O12" s="41"/>
      <c r="P12" s="42"/>
      <c r="Q12" s="43"/>
      <c r="R12" s="41"/>
      <c r="S12" s="42"/>
      <c r="T12" s="43"/>
      <c r="U12" s="41"/>
      <c r="V12" s="42"/>
      <c r="W12" s="43"/>
      <c r="X12" s="41"/>
      <c r="Y12" s="42"/>
      <c r="Z12" s="43"/>
      <c r="AA12" s="41"/>
      <c r="AB12" s="42"/>
      <c r="AC12" s="43"/>
      <c r="AD12" s="41"/>
      <c r="AE12" s="42"/>
      <c r="AF12" s="43"/>
      <c r="AG12" s="41"/>
      <c r="AH12" s="42"/>
      <c r="AI12" s="43"/>
      <c r="AJ12" s="41"/>
      <c r="AK12" s="42"/>
      <c r="AL12" s="43"/>
      <c r="AM12" s="41"/>
      <c r="AN12" s="42"/>
      <c r="AO12" s="43"/>
    </row>
    <row r="13" spans="1:41" ht="30.75" customHeight="1" x14ac:dyDescent="0.45">
      <c r="B13" s="10" t="s">
        <v>8</v>
      </c>
      <c r="C13" s="41"/>
      <c r="D13" s="42"/>
      <c r="E13" s="43"/>
      <c r="F13" s="41"/>
      <c r="G13" s="42"/>
      <c r="H13" s="43"/>
      <c r="I13" s="41"/>
      <c r="J13" s="42"/>
      <c r="K13" s="43"/>
      <c r="L13" s="41"/>
      <c r="M13" s="42"/>
      <c r="N13" s="43"/>
      <c r="O13" s="41"/>
      <c r="P13" s="42"/>
      <c r="Q13" s="43"/>
      <c r="R13" s="41"/>
      <c r="S13" s="42"/>
      <c r="T13" s="43"/>
      <c r="U13" s="41"/>
      <c r="V13" s="42"/>
      <c r="W13" s="43"/>
      <c r="X13" s="41"/>
      <c r="Y13" s="42"/>
      <c r="Z13" s="43"/>
      <c r="AA13" s="41"/>
      <c r="AB13" s="42"/>
      <c r="AC13" s="43"/>
      <c r="AD13" s="41"/>
      <c r="AE13" s="42"/>
      <c r="AF13" s="43"/>
      <c r="AG13" s="41"/>
      <c r="AH13" s="42"/>
      <c r="AI13" s="43"/>
      <c r="AJ13" s="41"/>
      <c r="AK13" s="42"/>
      <c r="AL13" s="43"/>
      <c r="AM13" s="41"/>
      <c r="AN13" s="42"/>
      <c r="AO13" s="43"/>
    </row>
    <row r="14" spans="1:41" x14ac:dyDescent="0.45">
      <c r="B14" s="10" t="s">
        <v>37</v>
      </c>
      <c r="C14" s="41"/>
      <c r="D14" s="42"/>
      <c r="E14" s="43"/>
      <c r="F14" s="41"/>
      <c r="G14" s="42"/>
      <c r="H14" s="43"/>
      <c r="I14" s="41"/>
      <c r="J14" s="42"/>
      <c r="K14" s="43"/>
      <c r="L14" s="41"/>
      <c r="M14" s="42"/>
      <c r="N14" s="43"/>
      <c r="O14" s="41"/>
      <c r="P14" s="42"/>
      <c r="Q14" s="43"/>
      <c r="R14" s="41"/>
      <c r="S14" s="42"/>
      <c r="T14" s="43"/>
      <c r="U14" s="41"/>
      <c r="V14" s="42"/>
      <c r="W14" s="43"/>
      <c r="X14" s="41"/>
      <c r="Y14" s="42"/>
      <c r="Z14" s="43"/>
      <c r="AA14" s="41"/>
      <c r="AB14" s="42"/>
      <c r="AC14" s="43"/>
      <c r="AD14" s="41"/>
      <c r="AE14" s="42"/>
      <c r="AF14" s="43"/>
      <c r="AG14" s="41"/>
      <c r="AH14" s="42"/>
      <c r="AI14" s="43"/>
      <c r="AJ14" s="41"/>
      <c r="AK14" s="42"/>
      <c r="AL14" s="43"/>
      <c r="AM14" s="41"/>
      <c r="AN14" s="42"/>
      <c r="AO14" s="43"/>
    </row>
    <row r="15" spans="1:41" ht="20.25" customHeight="1" x14ac:dyDescent="0.45">
      <c r="B15" s="10" t="s">
        <v>9</v>
      </c>
      <c r="C15" s="41"/>
      <c r="D15" s="42"/>
      <c r="E15" s="43"/>
      <c r="F15" s="41"/>
      <c r="G15" s="42"/>
      <c r="H15" s="43"/>
      <c r="I15" s="41"/>
      <c r="J15" s="42"/>
      <c r="K15" s="43"/>
      <c r="L15" s="41"/>
      <c r="M15" s="42"/>
      <c r="N15" s="43"/>
      <c r="O15" s="41"/>
      <c r="P15" s="42"/>
      <c r="Q15" s="43"/>
      <c r="R15" s="41"/>
      <c r="S15" s="42"/>
      <c r="T15" s="43"/>
      <c r="U15" s="41"/>
      <c r="V15" s="42"/>
      <c r="W15" s="43"/>
      <c r="X15" s="41"/>
      <c r="Y15" s="42"/>
      <c r="Z15" s="43"/>
      <c r="AA15" s="41"/>
      <c r="AB15" s="42"/>
      <c r="AC15" s="43"/>
      <c r="AD15" s="41"/>
      <c r="AE15" s="42"/>
      <c r="AF15" s="43"/>
      <c r="AG15" s="41"/>
      <c r="AH15" s="42"/>
      <c r="AI15" s="43"/>
      <c r="AJ15" s="41"/>
      <c r="AK15" s="42"/>
      <c r="AL15" s="43"/>
      <c r="AM15" s="41"/>
      <c r="AN15" s="42"/>
      <c r="AO15" s="43"/>
    </row>
    <row r="16" spans="1:41" x14ac:dyDescent="0.45">
      <c r="B16" s="10" t="s">
        <v>16</v>
      </c>
      <c r="C16" s="41"/>
      <c r="D16" s="42"/>
      <c r="E16" s="43"/>
      <c r="F16" s="41"/>
      <c r="G16" s="42"/>
      <c r="H16" s="43"/>
      <c r="I16" s="41"/>
      <c r="J16" s="42"/>
      <c r="K16" s="43"/>
      <c r="L16" s="41"/>
      <c r="M16" s="42"/>
      <c r="N16" s="43"/>
      <c r="O16" s="41"/>
      <c r="P16" s="42"/>
      <c r="Q16" s="43"/>
      <c r="R16" s="41"/>
      <c r="S16" s="42"/>
      <c r="T16" s="43"/>
      <c r="U16" s="41"/>
      <c r="V16" s="42"/>
      <c r="W16" s="43"/>
      <c r="X16" s="41"/>
      <c r="Y16" s="42"/>
      <c r="Z16" s="43"/>
      <c r="AA16" s="41"/>
      <c r="AB16" s="42"/>
      <c r="AC16" s="43"/>
      <c r="AD16" s="41"/>
      <c r="AE16" s="42"/>
      <c r="AF16" s="43"/>
      <c r="AG16" s="41"/>
      <c r="AH16" s="42"/>
      <c r="AI16" s="43"/>
      <c r="AJ16" s="41"/>
      <c r="AK16" s="42"/>
      <c r="AL16" s="43"/>
      <c r="AM16" s="41"/>
      <c r="AN16" s="42"/>
      <c r="AO16" s="43"/>
    </row>
    <row r="17" spans="1:41" x14ac:dyDescent="0.45">
      <c r="B17" s="10"/>
      <c r="C17" s="41"/>
      <c r="D17" s="42"/>
      <c r="E17" s="43"/>
      <c r="F17" s="41"/>
      <c r="G17" s="42"/>
      <c r="H17" s="43"/>
      <c r="I17" s="41"/>
      <c r="J17" s="42"/>
      <c r="K17" s="43"/>
      <c r="L17" s="41"/>
      <c r="M17" s="42"/>
      <c r="N17" s="43"/>
      <c r="O17" s="41"/>
      <c r="P17" s="42"/>
      <c r="Q17" s="43"/>
      <c r="R17" s="41"/>
      <c r="S17" s="42"/>
      <c r="T17" s="43"/>
      <c r="U17" s="41"/>
      <c r="V17" s="42"/>
      <c r="W17" s="43"/>
      <c r="X17" s="41"/>
      <c r="Y17" s="42"/>
      <c r="Z17" s="43"/>
      <c r="AA17" s="41"/>
      <c r="AB17" s="42"/>
      <c r="AC17" s="43"/>
      <c r="AD17" s="41"/>
      <c r="AE17" s="42"/>
      <c r="AF17" s="43"/>
      <c r="AG17" s="41"/>
      <c r="AH17" s="42"/>
      <c r="AI17" s="43"/>
      <c r="AJ17" s="41"/>
      <c r="AK17" s="42"/>
      <c r="AL17" s="43"/>
      <c r="AM17" s="41"/>
      <c r="AN17" s="42"/>
      <c r="AO17" s="43"/>
    </row>
    <row r="18" spans="1:41" s="2" customFormat="1" x14ac:dyDescent="0.45">
      <c r="A18" s="1"/>
      <c r="B18" s="3" t="s">
        <v>1</v>
      </c>
      <c r="C18" s="28">
        <f>AVERAGE(C4:C17)</f>
        <v>0</v>
      </c>
      <c r="D18" s="29"/>
      <c r="E18" s="30"/>
      <c r="F18" s="28">
        <f>AVERAGE(F4:F17)</f>
        <v>0</v>
      </c>
      <c r="G18" s="29"/>
      <c r="H18" s="30"/>
      <c r="I18" s="28">
        <f>AVERAGE(I4:I17)</f>
        <v>0</v>
      </c>
      <c r="J18" s="29"/>
      <c r="K18" s="30"/>
      <c r="L18" s="28">
        <f>AVERAGE(L4:L17)</f>
        <v>0</v>
      </c>
      <c r="M18" s="29"/>
      <c r="N18" s="30"/>
      <c r="O18" s="28">
        <f>AVERAGE(O4:O17)</f>
        <v>0</v>
      </c>
      <c r="P18" s="29"/>
      <c r="Q18" s="30"/>
      <c r="R18" s="28">
        <f>AVERAGE(R4:R17)</f>
        <v>0</v>
      </c>
      <c r="S18" s="29"/>
      <c r="T18" s="30"/>
      <c r="U18" s="28">
        <f>AVERAGE(U4:U17)</f>
        <v>0</v>
      </c>
      <c r="V18" s="29"/>
      <c r="W18" s="30"/>
      <c r="X18" s="28">
        <f>AVERAGE(X4:X17)</f>
        <v>0</v>
      </c>
      <c r="Y18" s="29"/>
      <c r="Z18" s="30"/>
      <c r="AA18" s="28">
        <f>AVERAGE(AA4:AA17)</f>
        <v>0</v>
      </c>
      <c r="AB18" s="29"/>
      <c r="AC18" s="30"/>
      <c r="AD18" s="28">
        <f>AVERAGE(AD4:AD17)</f>
        <v>0</v>
      </c>
      <c r="AE18" s="29"/>
      <c r="AF18" s="30"/>
      <c r="AG18" s="28">
        <f>AVERAGE(AG4:AG17)</f>
        <v>0</v>
      </c>
      <c r="AH18" s="29"/>
      <c r="AI18" s="30"/>
      <c r="AJ18" s="28">
        <f>AVERAGE(AJ4:AJ17)</f>
        <v>0</v>
      </c>
      <c r="AK18" s="29"/>
      <c r="AL18" s="30"/>
      <c r="AM18" s="28">
        <f>AVERAGE(AM4:AM17)</f>
        <v>0</v>
      </c>
      <c r="AN18" s="29"/>
      <c r="AO18" s="30"/>
    </row>
    <row r="19" spans="1:41" s="8" customFormat="1" x14ac:dyDescent="0.45"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s="8" customForma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s="8" customFormat="1" x14ac:dyDescent="0.45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s="8" customForma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s="8" customFormat="1" x14ac:dyDescent="0.45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s="8" customFormat="1" x14ac:dyDescent="0.45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s="8" customFormat="1" x14ac:dyDescent="0.45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s="8" customFormat="1" x14ac:dyDescent="0.45"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s="8" customForma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s="8" customFormat="1" x14ac:dyDescent="0.45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s="8" customFormat="1" x14ac:dyDescent="0.45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s="8" customForma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s="8" customFormat="1" x14ac:dyDescent="0.45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s="8" customForma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2:41" s="8" customFormat="1" x14ac:dyDescent="0.45"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2:41" s="8" customFormat="1" x14ac:dyDescent="0.45"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2:41" s="8" customFormat="1" x14ac:dyDescent="0.45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2:41" s="8" customFormat="1" x14ac:dyDescent="0.45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2:41" s="8" customFormat="1" x14ac:dyDescent="0.45"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2:41" s="8" customFormat="1" x14ac:dyDescent="0.45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2:41" s="8" customFormat="1" x14ac:dyDescent="0.45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2:41" s="8" customFormat="1" x14ac:dyDescent="0.45"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2:41" s="8" customFormat="1" x14ac:dyDescent="0.45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2:41" s="8" customFormat="1" x14ac:dyDescent="0.45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2:41" s="8" customFormat="1" x14ac:dyDescent="0.45"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2:41" s="8" customFormat="1" x14ac:dyDescent="0.45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2:41" s="8" customFormat="1" x14ac:dyDescent="0.45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2:41" s="8" customFormat="1" x14ac:dyDescent="0.45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2:41" s="8" customFormat="1" x14ac:dyDescent="0.45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2:41" s="8" customFormat="1" x14ac:dyDescent="0.45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2:41" s="8" customFormat="1" x14ac:dyDescent="0.45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2:41" s="8" customFormat="1" x14ac:dyDescent="0.45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2:41" s="8" customFormat="1" x14ac:dyDescent="0.45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2:41" s="8" customFormat="1" x14ac:dyDescent="0.45"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2:41" s="8" customFormat="1" x14ac:dyDescent="0.45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2:41" s="8" customFormat="1" x14ac:dyDescent="0.45"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</sheetData>
  <mergeCells count="27">
    <mergeCell ref="X2:Z2"/>
    <mergeCell ref="O2:Q2"/>
    <mergeCell ref="F2:H2"/>
    <mergeCell ref="U2:W2"/>
    <mergeCell ref="R2:T2"/>
    <mergeCell ref="L2:N2"/>
    <mergeCell ref="I2:K2"/>
    <mergeCell ref="AJ2:AL2"/>
    <mergeCell ref="AM2:AO2"/>
    <mergeCell ref="AG2:AI2"/>
    <mergeCell ref="AD2:AF2"/>
    <mergeCell ref="AA2:AC2"/>
    <mergeCell ref="AM18:AO18"/>
    <mergeCell ref="X18:Z18"/>
    <mergeCell ref="AA18:AC18"/>
    <mergeCell ref="AD18:AF18"/>
    <mergeCell ref="AG18:AI18"/>
    <mergeCell ref="AJ18:AL18"/>
    <mergeCell ref="B2:B3"/>
    <mergeCell ref="L18:N18"/>
    <mergeCell ref="O18:Q18"/>
    <mergeCell ref="R18:T18"/>
    <mergeCell ref="U18:W18"/>
    <mergeCell ref="C2:E2"/>
    <mergeCell ref="C18:E18"/>
    <mergeCell ref="F18:H18"/>
    <mergeCell ref="I18:K18"/>
  </mergeCells>
  <printOptions horizontalCentered="1"/>
  <pageMargins left="0.23622047244094491" right="0.23622047244094491" top="0.74803149606299213" bottom="0.74803149606299213" header="0.31496062992125984" footer="0.31496062992125984"/>
  <pageSetup scale="9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Calificacion</vt:lpstr>
      <vt:lpstr>Detalle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2024-08-11T14:58:40Z</cp:lastPrinted>
  <dcterms:created xsi:type="dcterms:W3CDTF">2018-11-28T14:19:17Z</dcterms:created>
  <dcterms:modified xsi:type="dcterms:W3CDTF">2025-08-04T14:55:11Z</dcterms:modified>
</cp:coreProperties>
</file>