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31"/>
  <workbookPr updateLinks="never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R.HCMC\activity\M01A07\"/>
    </mc:Choice>
  </mc:AlternateContent>
  <xr:revisionPtr revIDLastSave="0" documentId="13_ncr:1_{5AB8F18C-BF28-4421-9683-DB3E56804C1E}" xr6:coauthVersionLast="47" xr6:coauthVersionMax="47" xr10:uidLastSave="{00000000-0000-0000-0000-000000000000}"/>
  <bookViews>
    <workbookView xWindow="-98" yWindow="-98" windowWidth="28996" windowHeight="15675" tabRatio="762" xr2:uid="{CB4A84EB-58A9-4828-A1EC-5E14AACD60D5}"/>
  </bookViews>
  <sheets>
    <sheet name="Calificacion" sheetId="12" r:id="rId1"/>
    <sheet name="Detalle" sheetId="10" r:id="rId2"/>
  </sheets>
  <definedNames>
    <definedName name="_xlnm.Print_Area" localSheetId="1">Detalle!$B$1:$E$27</definedName>
    <definedName name="_xlnm.Print_Titles" localSheetId="1">Detalle!$1:$3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" i="12" l="1"/>
  <c r="AQ20" i="10"/>
  <c r="AQ11" i="10"/>
  <c r="AQ8" i="10"/>
  <c r="AN20" i="10"/>
  <c r="AN11" i="10"/>
  <c r="AN8" i="10"/>
  <c r="AK20" i="10"/>
  <c r="AK11" i="10"/>
  <c r="AK8" i="10"/>
  <c r="AH20" i="10"/>
  <c r="AH11" i="10"/>
  <c r="AH8" i="10"/>
  <c r="AE20" i="10"/>
  <c r="AE11" i="10"/>
  <c r="AE8" i="10"/>
  <c r="AB20" i="10"/>
  <c r="AB11" i="10"/>
  <c r="AB8" i="10"/>
  <c r="Y20" i="10"/>
  <c r="Y11" i="10"/>
  <c r="Y8" i="10"/>
  <c r="V20" i="10"/>
  <c r="V11" i="10"/>
  <c r="V8" i="10"/>
  <c r="S20" i="10"/>
  <c r="S11" i="10"/>
  <c r="S8" i="10"/>
  <c r="P20" i="10"/>
  <c r="P11" i="10"/>
  <c r="P8" i="10"/>
  <c r="M20" i="10"/>
  <c r="M11" i="10"/>
  <c r="M8" i="10"/>
  <c r="J20" i="10"/>
  <c r="J11" i="10"/>
  <c r="J8" i="10"/>
  <c r="G20" i="10"/>
  <c r="G11" i="10"/>
  <c r="G8" i="10"/>
  <c r="B1" i="10" l="1"/>
  <c r="D20" i="10"/>
  <c r="AP27" i="10" l="1"/>
  <c r="AM27" i="10"/>
  <c r="AJ27" i="10"/>
  <c r="AG27" i="10"/>
  <c r="AD27" i="10"/>
  <c r="AA27" i="10"/>
  <c r="X27" i="10"/>
  <c r="U27" i="10"/>
  <c r="D11" i="10"/>
  <c r="D8" i="10"/>
  <c r="R27" i="10"/>
  <c r="O27" i="10"/>
  <c r="L27" i="10"/>
  <c r="I27" i="10"/>
  <c r="F27" i="10"/>
  <c r="D18" i="12" l="1"/>
  <c r="F18" i="12" s="1"/>
  <c r="D17" i="12"/>
  <c r="F17" i="12" s="1"/>
  <c r="D16" i="12"/>
  <c r="F16" i="12" s="1"/>
  <c r="D15" i="12"/>
  <c r="F15" i="12" s="1"/>
  <c r="D14" i="12"/>
  <c r="F14" i="12" s="1"/>
  <c r="D13" i="12"/>
  <c r="F13" i="12" s="1"/>
  <c r="AP2" i="10" l="1"/>
  <c r="AM2" i="10"/>
  <c r="AJ2" i="10"/>
  <c r="AG2" i="10"/>
  <c r="AD2" i="10"/>
  <c r="AA2" i="10"/>
  <c r="X2" i="10"/>
  <c r="U2" i="10"/>
  <c r="R2" i="10"/>
  <c r="O2" i="10"/>
  <c r="L2" i="10"/>
  <c r="I2" i="10"/>
  <c r="F2" i="10"/>
  <c r="C2" i="10"/>
  <c r="D7" i="12"/>
  <c r="F7" i="12" s="1"/>
  <c r="D12" i="12" l="1"/>
  <c r="F12" i="12" s="1"/>
  <c r="D11" i="12"/>
  <c r="F11" i="12" s="1"/>
  <c r="D10" i="12"/>
  <c r="F10" i="12" s="1"/>
  <c r="D9" i="12"/>
  <c r="F9" i="12" s="1"/>
  <c r="D8" i="12"/>
  <c r="F8" i="12" s="1"/>
  <c r="D6" i="12"/>
  <c r="F6" i="12" s="1"/>
  <c r="C27" i="10"/>
  <c r="D5" i="12" s="1"/>
  <c r="F5" i="12" s="1"/>
</calcChain>
</file>

<file path=xl/sharedStrings.xml><?xml version="1.0" encoding="utf-8"?>
<sst xmlns="http://schemas.openxmlformats.org/spreadsheetml/2006/main" count="87" uniqueCount="44">
  <si>
    <t>Observaciones</t>
  </si>
  <si>
    <t>Calificación</t>
  </si>
  <si>
    <t>Código</t>
  </si>
  <si>
    <t>Requerimiento</t>
  </si>
  <si>
    <t>Varios</t>
  </si>
  <si>
    <t>Valor</t>
  </si>
  <si>
    <t>Pendiente natural existente a partir de las secciones naturales de inicio y entrega.</t>
  </si>
  <si>
    <t>Pendiente del valle suavizado</t>
  </si>
  <si>
    <t>Pendiente media por subtramos a partir de secciones transversales de muestreo</t>
  </si>
  <si>
    <t>Justificar técnicamente la pendiente de diseño del cauce sinuoso artificial</t>
  </si>
  <si>
    <t>Largo tramo natural a reemplazar, m</t>
  </si>
  <si>
    <t># secciones evaluadas</t>
  </si>
  <si>
    <t>Pendiente, m/m</t>
  </si>
  <si>
    <t>Largo tramo evaluado, m</t>
  </si>
  <si>
    <t>Largo valle suavizado, m</t>
  </si>
  <si>
    <t>Investigar consideraciones generales para la definición de la pendiente de diseño.</t>
  </si>
  <si>
    <t>Calificar sobre</t>
  </si>
  <si>
    <t>Calificación final</t>
  </si>
  <si>
    <t>Calificación Instructor</t>
  </si>
  <si>
    <t>Auto-calificación estudiante</t>
  </si>
  <si>
    <t>Grupo 1</t>
  </si>
  <si>
    <t>Grupo 2</t>
  </si>
  <si>
    <t>Grupo 3</t>
  </si>
  <si>
    <t>Grupo 4</t>
  </si>
  <si>
    <t>Grupo 5</t>
  </si>
  <si>
    <t>Calificación: 1.7. Análisis de la pendiente de diseño en cauce y valle</t>
  </si>
  <si>
    <t>M01A07</t>
  </si>
  <si>
    <t>Grupo 6</t>
  </si>
  <si>
    <t>Grupo 7</t>
  </si>
  <si>
    <t>Grupo 8</t>
  </si>
  <si>
    <t>Grupo 9</t>
  </si>
  <si>
    <t>Grupo 10</t>
  </si>
  <si>
    <t>Grupo 11</t>
  </si>
  <si>
    <t>Grupo 12</t>
  </si>
  <si>
    <t>Grupo 13</t>
  </si>
  <si>
    <t>Grupo 14</t>
  </si>
  <si>
    <t>Informe técnico mostrando las actividades desarrolladas en el orden presentado en esta actividad, junto con los análisis y recomendaciones realizadas, convierta a Adobe Acrobat (.pdf) y guarde en la carpeta /report del repositorio de datos del proyecto.</t>
  </si>
  <si>
    <t>Registrar los valores obtenidos en el libro de parámetros generales requeridos para el diseño y la modelación.</t>
  </si>
  <si>
    <t>Cota fondo inicio modelación M01A06, m</t>
  </si>
  <si>
    <t>Cota fondo entrega modelación M01A06, m</t>
  </si>
  <si>
    <t>Largo tramo natural a reemplazar entrega M01A06, m</t>
  </si>
  <si>
    <t>Delta Y M01A06, m</t>
  </si>
  <si>
    <t>Delta Y M01A07, m</t>
  </si>
  <si>
    <t>Largo valle suavizado entrega M01A03,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</si>
</sst>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"/>
    <numFmt numFmtId="165" formatCode="0.0000000"/>
  </numFmts>
  <fonts count="1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theme="10"/>
      <name val="Calibri Light"/>
      <family val="2"/>
    </font>
    <font>
      <sz val="10"/>
      <color theme="1"/>
      <name val="Calibri Light"/>
      <family val="2"/>
    </font>
    <font>
      <sz val="10"/>
      <color theme="1"/>
      <name val="Segoe UI Light"/>
      <family val="2"/>
    </font>
    <font>
      <sz val="10"/>
      <name val="Segoe UI Light"/>
      <family val="2"/>
    </font>
    <font>
      <u/>
      <sz val="10"/>
      <name val="Segoe UI Light"/>
      <family val="2"/>
    </font>
    <font>
      <sz val="10"/>
      <color theme="10"/>
      <name val="Segoe UI Light"/>
      <family val="2"/>
    </font>
    <font>
      <sz val="10"/>
      <color rgb="FF0070C0"/>
      <name val="Segoe UI Light"/>
      <family val="2"/>
    </font>
    <font>
      <sz val="8"/>
      <name val="Calibri"/>
      <family val="2"/>
      <scheme val="minor"/>
    </font>
    <font>
      <sz val="8"/>
      <color theme="1"/>
      <name val="Segoe UI Light"/>
      <family val="2"/>
    </font>
    <font>
      <sz val="8"/>
      <color rgb="FF0070C0"/>
      <name val="Segoe U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/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0" tint="-4.9989318521683403E-2"/>
      </top>
      <bottom/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/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2" fillId="0" borderId="0"/>
    <xf numFmtId="43" fontId="4" fillId="0" borderId="0" applyFont="0" applyFill="0" applyBorder="0" applyAlignment="0" applyProtection="0"/>
  </cellStyleXfs>
  <cellXfs count="54">
    <xf numFmtId="0" fontId="0" fillId="0" borderId="0" xfId="0"/>
    <xf numFmtId="0" fontId="6" fillId="0" borderId="0" xfId="4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7" fillId="0" borderId="0" xfId="2" applyFont="1" applyFill="1" applyAlignment="1">
      <alignment horizontal="right"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vertical="top" wrapText="1"/>
    </xf>
    <xf numFmtId="0" fontId="6" fillId="0" borderId="0" xfId="4" applyFont="1" applyAlignment="1">
      <alignment horizontal="right" vertical="top"/>
    </xf>
    <xf numFmtId="0" fontId="6" fillId="2" borderId="1" xfId="0" applyFont="1" applyFill="1" applyBorder="1" applyAlignment="1">
      <alignment horizontal="center" vertical="top" wrapText="1"/>
    </xf>
    <xf numFmtId="164" fontId="6" fillId="2" borderId="11" xfId="0" applyNumberFormat="1" applyFont="1" applyFill="1" applyBorder="1" applyAlignment="1" applyProtection="1">
      <alignment horizontal="left" vertical="top" wrapText="1"/>
      <protection locked="0"/>
    </xf>
    <xf numFmtId="0" fontId="6" fillId="2" borderId="4" xfId="0" applyFont="1" applyFill="1" applyBorder="1" applyAlignment="1">
      <alignment horizontal="center" vertical="top" wrapText="1"/>
    </xf>
    <xf numFmtId="0" fontId="6" fillId="2" borderId="5" xfId="0" applyFont="1" applyFill="1" applyBorder="1" applyAlignment="1">
      <alignment horizontal="left" vertical="top" wrapText="1"/>
    </xf>
    <xf numFmtId="164" fontId="6" fillId="0" borderId="11" xfId="0" applyNumberFormat="1" applyFont="1" applyBorder="1" applyAlignment="1" applyProtection="1">
      <alignment horizontal="left" vertical="top" wrapText="1" indent="1"/>
      <protection locked="0"/>
    </xf>
    <xf numFmtId="0" fontId="6" fillId="0" borderId="0" xfId="1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5" fillId="0" borderId="0" xfId="0" applyFont="1"/>
    <xf numFmtId="2" fontId="9" fillId="0" borderId="1" xfId="0" applyNumberFormat="1" applyFont="1" applyBorder="1" applyAlignment="1" applyProtection="1">
      <alignment horizontal="center" vertical="top" wrapText="1"/>
      <protection locked="0"/>
    </xf>
    <xf numFmtId="165" fontId="9" fillId="0" borderId="1" xfId="0" applyNumberFormat="1" applyFont="1" applyBorder="1" applyAlignment="1" applyProtection="1">
      <alignment horizontal="center" vertical="top" wrapText="1"/>
      <protection locked="0"/>
    </xf>
    <xf numFmtId="0" fontId="5" fillId="2" borderId="8" xfId="0" applyFont="1" applyFill="1" applyBorder="1" applyAlignment="1">
      <alignment horizontal="center" vertical="top" wrapText="1"/>
    </xf>
    <xf numFmtId="0" fontId="5" fillId="2" borderId="3" xfId="0" applyFont="1" applyFill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top"/>
    </xf>
    <xf numFmtId="2" fontId="6" fillId="0" borderId="1" xfId="0" applyNumberFormat="1" applyFont="1" applyBorder="1" applyAlignment="1">
      <alignment horizontal="center" vertical="center" wrapText="1"/>
    </xf>
    <xf numFmtId="2" fontId="6" fillId="0" borderId="9" xfId="0" applyNumberFormat="1" applyFont="1" applyBorder="1" applyAlignment="1">
      <alignment horizontal="center" vertical="center" wrapText="1"/>
    </xf>
    <xf numFmtId="2" fontId="6" fillId="0" borderId="5" xfId="0" applyNumberFormat="1" applyFont="1" applyBorder="1" applyAlignment="1">
      <alignment horizontal="center" vertical="top" wrapText="1"/>
    </xf>
    <xf numFmtId="2" fontId="6" fillId="0" borderId="7" xfId="0" applyNumberFormat="1" applyFont="1" applyBorder="1" applyAlignment="1">
      <alignment horizontal="center" vertical="top" wrapText="1"/>
    </xf>
    <xf numFmtId="0" fontId="8" fillId="0" borderId="0" xfId="1" applyFont="1" applyBorder="1" applyAlignment="1">
      <alignment vertical="top" wrapText="1"/>
    </xf>
    <xf numFmtId="0" fontId="11" fillId="0" borderId="0" xfId="0" applyFont="1" applyAlignment="1">
      <alignment horizontal="right"/>
    </xf>
    <xf numFmtId="0" fontId="9" fillId="0" borderId="1" xfId="0" applyFont="1" applyBorder="1" applyAlignment="1">
      <alignment horizontal="center" vertical="top"/>
    </xf>
    <xf numFmtId="0" fontId="9" fillId="0" borderId="9" xfId="0" applyFont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2" fontId="9" fillId="0" borderId="9" xfId="0" applyNumberFormat="1" applyFont="1" applyBorder="1" applyAlignment="1">
      <alignment horizontal="center" vertical="center"/>
    </xf>
    <xf numFmtId="164" fontId="6" fillId="0" borderId="15" xfId="0" applyNumberFormat="1" applyFont="1" applyBorder="1" applyAlignment="1" applyProtection="1">
      <alignment horizontal="left" vertical="top" wrapText="1"/>
      <protection locked="0"/>
    </xf>
    <xf numFmtId="164" fontId="6" fillId="2" borderId="14" xfId="0" applyNumberFormat="1" applyFont="1" applyFill="1" applyBorder="1" applyAlignment="1">
      <alignment horizontal="right" vertical="top" wrapText="1"/>
    </xf>
    <xf numFmtId="2" fontId="9" fillId="0" borderId="4" xfId="0" applyNumberFormat="1" applyFont="1" applyBorder="1" applyAlignment="1" applyProtection="1">
      <alignment horizontal="center" vertical="top" wrapText="1"/>
      <protection locked="0"/>
    </xf>
    <xf numFmtId="2" fontId="9" fillId="0" borderId="5" xfId="0" applyNumberFormat="1" applyFont="1" applyBorder="1" applyAlignment="1">
      <alignment horizontal="left" vertical="top" wrapText="1"/>
    </xf>
    <xf numFmtId="2" fontId="9" fillId="0" borderId="16" xfId="0" applyNumberFormat="1" applyFont="1" applyBorder="1" applyAlignment="1" applyProtection="1">
      <alignment horizontal="center" vertical="top" wrapText="1"/>
      <protection locked="0"/>
    </xf>
    <xf numFmtId="2" fontId="9" fillId="0" borderId="13" xfId="0" applyNumberFormat="1" applyFont="1" applyBorder="1" applyAlignment="1" applyProtection="1">
      <alignment horizontal="center" vertical="top" wrapText="1"/>
      <protection locked="0"/>
    </xf>
    <xf numFmtId="2" fontId="9" fillId="0" borderId="17" xfId="0" applyNumberFormat="1" applyFont="1" applyBorder="1" applyAlignment="1">
      <alignment horizontal="left" vertical="top" wrapText="1"/>
    </xf>
    <xf numFmtId="165" fontId="5" fillId="0" borderId="1" xfId="0" applyNumberFormat="1" applyFont="1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wrapText="1"/>
    </xf>
    <xf numFmtId="0" fontId="6" fillId="0" borderId="0" xfId="4" applyFont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5" fillId="0" borderId="0" xfId="0" applyFont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6" fillId="2" borderId="10" xfId="0" applyFont="1" applyFill="1" applyBorder="1" applyAlignment="1">
      <alignment horizontal="left" wrapText="1"/>
    </xf>
    <xf numFmtId="0" fontId="6" fillId="2" borderId="11" xfId="0" applyFont="1" applyFill="1" applyBorder="1" applyAlignment="1">
      <alignment horizontal="left" wrapText="1"/>
    </xf>
    <xf numFmtId="0" fontId="6" fillId="2" borderId="2" xfId="0" applyFont="1" applyFill="1" applyBorder="1" applyAlignment="1">
      <alignment horizontal="center" vertical="top" wrapText="1"/>
    </xf>
    <xf numFmtId="0" fontId="6" fillId="2" borderId="8" xfId="0" applyFont="1" applyFill="1" applyBorder="1" applyAlignment="1">
      <alignment horizontal="center" vertical="top" wrapText="1"/>
    </xf>
    <xf numFmtId="0" fontId="6" fillId="2" borderId="3" xfId="0" applyFont="1" applyFill="1" applyBorder="1" applyAlignment="1">
      <alignment horizontal="center" vertical="top" wrapText="1"/>
    </xf>
    <xf numFmtId="2" fontId="6" fillId="2" borderId="14" xfId="0" applyNumberFormat="1" applyFont="1" applyFill="1" applyBorder="1" applyAlignment="1">
      <alignment horizontal="center" vertical="top" wrapText="1"/>
    </xf>
    <xf numFmtId="0" fontId="6" fillId="2" borderId="14" xfId="0" applyFont="1" applyFill="1" applyBorder="1" applyAlignment="1">
      <alignment horizontal="center" vertical="top" wrapText="1"/>
    </xf>
    <xf numFmtId="0" fontId="12" fillId="0" borderId="0" xfId="1" applyFont="1" applyBorder="1" applyAlignment="1">
      <alignment horizontal="left" vertical="top"/>
    </xf>
  </cellXfs>
  <cellStyles count="6">
    <cellStyle name="Hipervínculo 2" xfId="2" xr:uid="{31AB4584-48B5-483C-8AA6-C2DF10B27C24}"/>
    <cellStyle name="Hyperlink" xfId="1" builtinId="8"/>
    <cellStyle name="Millares 2" xfId="5" xr:uid="{B2346456-3EA3-414B-995D-FAA581EEA6A8}"/>
    <cellStyle name="Normal" xfId="0" builtinId="0"/>
    <cellStyle name="Normal 2" xfId="4" xr:uid="{5BE8A7FD-F8F9-4363-89EA-43A3CEB9DCAE}"/>
    <cellStyle name="Normal 3" xfId="3" xr:uid="{1BD222BC-86EE-4D01-AA8D-83508C777D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Calificacion!$B$2</c:f>
          <c:strCache>
            <c:ptCount val="1"/>
            <c:pt idx="0">
              <c:v>Calificación: 1.7. Análisis de la pendiente de diseño en cauce y valle</c:v>
            </c:pt>
          </c:strCache>
        </c:strRef>
      </c:tx>
      <c:layout>
        <c:manualLayout>
          <c:xMode val="edge"/>
          <c:yMode val="edge"/>
          <c:x val="0.23396197315754477"/>
          <c:y val="2.10995588769883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ysClr val="windowText" lastClr="000000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3216414074428745"/>
          <c:y val="0.11821732026143791"/>
          <c:w val="0.83492607174103239"/>
          <c:h val="0.56563827160493829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Calificacion!$F$4</c:f>
              <c:strCache>
                <c:ptCount val="1"/>
                <c:pt idx="0">
                  <c:v>Calificación final</c:v>
                </c:pt>
              </c:strCache>
            </c:strRef>
          </c:tx>
          <c:spPr>
            <a:solidFill>
              <a:schemeClr val="bg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Calificacion!$B$5:$B$9</c:f>
              <c:strCache>
                <c:ptCount val="5"/>
                <c:pt idx="0">
                  <c:v>Grupo 1</c:v>
                </c:pt>
                <c:pt idx="1">
                  <c:v>Grupo 2</c:v>
                </c:pt>
                <c:pt idx="2">
                  <c:v>Grupo 3</c:v>
                </c:pt>
                <c:pt idx="3">
                  <c:v>Grupo 4</c:v>
                </c:pt>
                <c:pt idx="4">
                  <c:v>Grupo 5</c:v>
                </c:pt>
              </c:strCache>
            </c:strRef>
          </c:cat>
          <c:val>
            <c:numRef>
              <c:f>Calificacion!$F$5:$F$9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08-400B-A26E-B3EF2ECD9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693552272"/>
        <c:axId val="693552600"/>
      </c:barChart>
      <c:catAx>
        <c:axId val="693552272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Código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693552600"/>
        <c:crosses val="autoZero"/>
        <c:auto val="1"/>
        <c:lblAlgn val="ctr"/>
        <c:lblOffset val="100"/>
        <c:noMultiLvlLbl val="0"/>
      </c:catAx>
      <c:valAx>
        <c:axId val="693552600"/>
        <c:scaling>
          <c:orientation val="minMax"/>
          <c:max val="5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Calificación</a:t>
                </a:r>
              </a:p>
            </c:rich>
          </c:tx>
          <c:layout>
            <c:manualLayout>
              <c:xMode val="edge"/>
              <c:yMode val="edge"/>
              <c:x val="1.721592592592593E-2"/>
              <c:y val="0.380342499999999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63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693552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prstDash val="sysDot"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Segoe UI Light" panose="020B0502040204020203" pitchFamily="34" charset="0"/>
          <a:cs typeface="Segoe UI Light" panose="020B0502040204020203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78518</xdr:colOff>
      <xdr:row>3</xdr:row>
      <xdr:rowOff>12808</xdr:rowOff>
    </xdr:from>
    <xdr:to>
      <xdr:col>14</xdr:col>
      <xdr:colOff>129471</xdr:colOff>
      <xdr:row>18</xdr:row>
      <xdr:rowOff>112534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2678CA2-DF7A-4F74-9EC7-9B9C21E9A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50BAE-D7A1-4B9B-8511-69070389923C}">
  <sheetPr codeName="Hoja2"/>
  <dimension ref="B1:F21"/>
  <sheetViews>
    <sheetView showGridLines="0" tabSelected="1" zoomScale="160" zoomScaleNormal="160" workbookViewId="0">
      <selection activeCell="B19" sqref="B19:F20"/>
    </sheetView>
  </sheetViews>
  <sheetFormatPr defaultColWidth="11.3984375" defaultRowHeight="15.4" x14ac:dyDescent="0.55000000000000004"/>
  <cols>
    <col min="1" max="1" width="2.6640625" style="17" customWidth="1"/>
    <col min="2" max="2" width="12.6640625" style="17" customWidth="1"/>
    <col min="3" max="3" width="7.86328125" style="17" customWidth="1"/>
    <col min="4" max="4" width="11.1328125" style="17" customWidth="1"/>
    <col min="5" max="5" width="14" style="17" customWidth="1"/>
    <col min="6" max="6" width="11.1328125" style="17" customWidth="1"/>
    <col min="7" max="7" width="2.6640625" style="17" customWidth="1"/>
    <col min="8" max="16384" width="11.3984375" style="17"/>
  </cols>
  <sheetData>
    <row r="1" spans="2:6" x14ac:dyDescent="0.55000000000000004">
      <c r="F1" s="28" t="s">
        <v>26</v>
      </c>
    </row>
    <row r="2" spans="2:6" x14ac:dyDescent="0.55000000000000004">
      <c r="B2" s="44" t="s">
        <v>25</v>
      </c>
      <c r="C2" s="44"/>
      <c r="D2" s="44"/>
      <c r="E2" s="44"/>
      <c r="F2" s="44"/>
    </row>
    <row r="3" spans="2:6" x14ac:dyDescent="0.55000000000000004">
      <c r="B3" s="45"/>
      <c r="C3" s="45"/>
      <c r="D3" s="45"/>
      <c r="E3" s="45"/>
      <c r="F3" s="45"/>
    </row>
    <row r="4" spans="2:6" ht="30.75" x14ac:dyDescent="0.55000000000000004">
      <c r="B4" s="22" t="s">
        <v>2</v>
      </c>
      <c r="C4" s="20" t="s">
        <v>16</v>
      </c>
      <c r="D4" s="20" t="s">
        <v>18</v>
      </c>
      <c r="E4" s="20" t="s">
        <v>19</v>
      </c>
      <c r="F4" s="21" t="s">
        <v>17</v>
      </c>
    </row>
    <row r="5" spans="2:6" x14ac:dyDescent="0.55000000000000004">
      <c r="B5" s="3" t="s">
        <v>20</v>
      </c>
      <c r="C5" s="29">
        <v>5</v>
      </c>
      <c r="D5" s="23">
        <f>Detalle!C27*C5/5</f>
        <v>0</v>
      </c>
      <c r="E5" s="31"/>
      <c r="F5" s="25">
        <f>AVERAGE(D5:E5)</f>
        <v>0</v>
      </c>
    </row>
    <row r="6" spans="2:6" x14ac:dyDescent="0.55000000000000004">
      <c r="B6" s="3" t="s">
        <v>21</v>
      </c>
      <c r="C6" s="29">
        <v>5</v>
      </c>
      <c r="D6" s="23">
        <f>Detalle!F27*C6/5</f>
        <v>0</v>
      </c>
      <c r="E6" s="31"/>
      <c r="F6" s="25">
        <f t="shared" ref="F6:F18" si="0">AVERAGE(D6:E6)</f>
        <v>0</v>
      </c>
    </row>
    <row r="7" spans="2:6" x14ac:dyDescent="0.55000000000000004">
      <c r="B7" s="3" t="s">
        <v>22</v>
      </c>
      <c r="C7" s="29">
        <v>5</v>
      </c>
      <c r="D7" s="23">
        <f>Detalle!I27*C7/5</f>
        <v>0</v>
      </c>
      <c r="E7" s="31"/>
      <c r="F7" s="25">
        <f t="shared" si="0"/>
        <v>0</v>
      </c>
    </row>
    <row r="8" spans="2:6" x14ac:dyDescent="0.55000000000000004">
      <c r="B8" s="3" t="s">
        <v>23</v>
      </c>
      <c r="C8" s="29">
        <v>5</v>
      </c>
      <c r="D8" s="23">
        <f>Detalle!L27*C8/5</f>
        <v>0</v>
      </c>
      <c r="E8" s="31"/>
      <c r="F8" s="25">
        <f t="shared" si="0"/>
        <v>0</v>
      </c>
    </row>
    <row r="9" spans="2:6" x14ac:dyDescent="0.55000000000000004">
      <c r="B9" s="3" t="s">
        <v>24</v>
      </c>
      <c r="C9" s="29">
        <v>5</v>
      </c>
      <c r="D9" s="23">
        <f>Detalle!O27*C9/5</f>
        <v>0</v>
      </c>
      <c r="E9" s="31"/>
      <c r="F9" s="25">
        <f t="shared" si="0"/>
        <v>0</v>
      </c>
    </row>
    <row r="10" spans="2:6" x14ac:dyDescent="0.55000000000000004">
      <c r="B10" s="3" t="s">
        <v>27</v>
      </c>
      <c r="C10" s="29">
        <v>5</v>
      </c>
      <c r="D10" s="23">
        <f>Detalle!R27*C10/5</f>
        <v>0</v>
      </c>
      <c r="E10" s="31"/>
      <c r="F10" s="25">
        <f t="shared" si="0"/>
        <v>0</v>
      </c>
    </row>
    <row r="11" spans="2:6" x14ac:dyDescent="0.55000000000000004">
      <c r="B11" s="3" t="s">
        <v>28</v>
      </c>
      <c r="C11" s="29">
        <v>5</v>
      </c>
      <c r="D11" s="23">
        <f>Detalle!U27*C11/5</f>
        <v>0</v>
      </c>
      <c r="E11" s="31"/>
      <c r="F11" s="25">
        <f t="shared" si="0"/>
        <v>0</v>
      </c>
    </row>
    <row r="12" spans="2:6" x14ac:dyDescent="0.55000000000000004">
      <c r="B12" s="3" t="s">
        <v>29</v>
      </c>
      <c r="C12" s="29">
        <v>5</v>
      </c>
      <c r="D12" s="23">
        <f>Detalle!X27*C12/5</f>
        <v>0</v>
      </c>
      <c r="E12" s="31"/>
      <c r="F12" s="25">
        <f t="shared" si="0"/>
        <v>0</v>
      </c>
    </row>
    <row r="13" spans="2:6" x14ac:dyDescent="0.55000000000000004">
      <c r="B13" s="3" t="s">
        <v>30</v>
      </c>
      <c r="C13" s="29">
        <v>5</v>
      </c>
      <c r="D13" s="23">
        <f>Detalle!AA27*C13/5</f>
        <v>0</v>
      </c>
      <c r="E13" s="31"/>
      <c r="F13" s="25">
        <f t="shared" si="0"/>
        <v>0</v>
      </c>
    </row>
    <row r="14" spans="2:6" x14ac:dyDescent="0.55000000000000004">
      <c r="B14" s="3" t="s">
        <v>31</v>
      </c>
      <c r="C14" s="29">
        <v>5</v>
      </c>
      <c r="D14" s="23">
        <f>Detalle!AD27*C14/5</f>
        <v>0</v>
      </c>
      <c r="E14" s="31"/>
      <c r="F14" s="25">
        <f t="shared" si="0"/>
        <v>0</v>
      </c>
    </row>
    <row r="15" spans="2:6" x14ac:dyDescent="0.55000000000000004">
      <c r="B15" s="3" t="s">
        <v>32</v>
      </c>
      <c r="C15" s="29">
        <v>5</v>
      </c>
      <c r="D15" s="23">
        <f>Detalle!AG27*C15/5</f>
        <v>0</v>
      </c>
      <c r="E15" s="31"/>
      <c r="F15" s="25">
        <f t="shared" si="0"/>
        <v>0</v>
      </c>
    </row>
    <row r="16" spans="2:6" x14ac:dyDescent="0.55000000000000004">
      <c r="B16" s="3" t="s">
        <v>33</v>
      </c>
      <c r="C16" s="29">
        <v>5</v>
      </c>
      <c r="D16" s="23">
        <f>Detalle!AJ27*C16/5</f>
        <v>0</v>
      </c>
      <c r="E16" s="31"/>
      <c r="F16" s="25">
        <f t="shared" si="0"/>
        <v>0</v>
      </c>
    </row>
    <row r="17" spans="2:6" x14ac:dyDescent="0.55000000000000004">
      <c r="B17" s="3" t="s">
        <v>34</v>
      </c>
      <c r="C17" s="29">
        <v>5</v>
      </c>
      <c r="D17" s="23">
        <f>Detalle!AM27*C17/5</f>
        <v>0</v>
      </c>
      <c r="E17" s="31"/>
      <c r="F17" s="25">
        <f t="shared" si="0"/>
        <v>0</v>
      </c>
    </row>
    <row r="18" spans="2:6" x14ac:dyDescent="0.55000000000000004">
      <c r="B18" s="4" t="s">
        <v>35</v>
      </c>
      <c r="C18" s="30">
        <v>5</v>
      </c>
      <c r="D18" s="24">
        <f>Detalle!AP27*C18/5</f>
        <v>0</v>
      </c>
      <c r="E18" s="32"/>
      <c r="F18" s="26">
        <f t="shared" si="0"/>
        <v>0</v>
      </c>
    </row>
    <row r="19" spans="2:6" ht="15.4" customHeight="1" x14ac:dyDescent="0.55000000000000004">
      <c r="B19" s="53" t="str">
        <f>HYPERLINK(_xlfn.CONCAT("https://github.com/rcfdtools/R.HCMC/blob/main/activity/",F1,"/Readme.md"),_xlfn.CONCAT("Ir a actividad ",F1," en GitHub."))</f>
        <v>Ir a actividad M01A07 en GitHub.</v>
      </c>
      <c r="C19" s="53"/>
      <c r="D19" s="53"/>
      <c r="E19" s="53"/>
      <c r="F19" s="53"/>
    </row>
    <row r="20" spans="2:6" x14ac:dyDescent="0.55000000000000004">
      <c r="B20" s="53"/>
      <c r="C20" s="53"/>
      <c r="D20" s="53"/>
      <c r="E20" s="53"/>
      <c r="F20" s="53"/>
    </row>
    <row r="21" spans="2:6" x14ac:dyDescent="0.55000000000000004">
      <c r="B21" s="27"/>
      <c r="C21" s="27"/>
      <c r="D21" s="27"/>
      <c r="E21" s="27"/>
      <c r="F21" s="27"/>
    </row>
  </sheetData>
  <mergeCells count="3">
    <mergeCell ref="B2:F3"/>
    <mergeCell ref="B19:F19"/>
    <mergeCell ref="B20:F20"/>
  </mergeCells>
  <phoneticPr fontId="10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987CE-896A-4E26-83D1-1610B3259376}">
  <sheetPr codeName="Hoja1"/>
  <dimension ref="A1:AR63"/>
  <sheetViews>
    <sheetView showGridLines="0" zoomScale="115" zoomScaleNormal="115" workbookViewId="0">
      <pane xSplit="2" ySplit="3" topLeftCell="C14" activePane="bottomRight" state="frozen"/>
      <selection pane="topRight" activeCell="C1" sqref="C1"/>
      <selection pane="bottomLeft" activeCell="A4" sqref="A4"/>
      <selection pane="bottomRight" activeCell="B14" sqref="B14"/>
    </sheetView>
  </sheetViews>
  <sheetFormatPr defaultColWidth="11.3984375" defaultRowHeight="15.4" x14ac:dyDescent="0.45"/>
  <cols>
    <col min="1" max="1" width="2.6640625" style="9" customWidth="1"/>
    <col min="2" max="2" width="50.6640625" style="8" customWidth="1"/>
    <col min="3" max="4" width="10.6640625" style="7" customWidth="1"/>
    <col min="5" max="5" width="50.6640625" style="7" customWidth="1"/>
    <col min="6" max="7" width="10.6640625" style="7" customWidth="1"/>
    <col min="8" max="8" width="50.6640625" style="7" customWidth="1"/>
    <col min="9" max="10" width="10.6640625" style="7" customWidth="1"/>
    <col min="11" max="11" width="50.6640625" style="7" customWidth="1"/>
    <col min="12" max="13" width="10.6640625" style="7" customWidth="1"/>
    <col min="14" max="14" width="50.6640625" style="7" customWidth="1"/>
    <col min="15" max="16" width="10.6640625" style="7" customWidth="1"/>
    <col min="17" max="17" width="50.6640625" style="7" customWidth="1"/>
    <col min="18" max="19" width="10.6640625" style="7" customWidth="1"/>
    <col min="20" max="20" width="50.6640625" style="7" customWidth="1"/>
    <col min="21" max="22" width="10.6640625" style="7" customWidth="1"/>
    <col min="23" max="23" width="50.6640625" style="7" customWidth="1"/>
    <col min="24" max="25" width="10.6640625" style="7" customWidth="1"/>
    <col min="26" max="26" width="50.6640625" style="7" customWidth="1"/>
    <col min="27" max="28" width="10.6640625" style="7" customWidth="1"/>
    <col min="29" max="29" width="50.6640625" style="7" customWidth="1"/>
    <col min="30" max="31" width="10.6640625" style="7" customWidth="1"/>
    <col min="32" max="32" width="50.6640625" style="7" customWidth="1"/>
    <col min="33" max="34" width="10.6640625" style="7" customWidth="1"/>
    <col min="35" max="35" width="50.6640625" style="7" customWidth="1"/>
    <col min="36" max="37" width="10.6640625" style="7" customWidth="1"/>
    <col min="38" max="38" width="50.6640625" style="7" customWidth="1"/>
    <col min="39" max="40" width="10.6640625" style="7" customWidth="1"/>
    <col min="41" max="41" width="50.6640625" style="7" customWidth="1"/>
    <col min="42" max="43" width="10.6640625" style="7" customWidth="1"/>
    <col min="44" max="44" width="50.6640625" style="7" customWidth="1"/>
    <col min="45" max="16384" width="11.3984375" style="8"/>
  </cols>
  <sheetData>
    <row r="1" spans="1:44" x14ac:dyDescent="0.45">
      <c r="A1" s="5"/>
      <c r="B1" s="6" t="str">
        <f>Calificacion!B2</f>
        <v>Calificación: 1.7. Análisis de la pendiente de diseño en cauce y valle</v>
      </c>
      <c r="C1" s="15"/>
      <c r="D1" s="15"/>
      <c r="F1" s="15"/>
      <c r="G1" s="15"/>
      <c r="I1" s="15"/>
      <c r="J1" s="15"/>
      <c r="L1" s="15"/>
      <c r="M1" s="15"/>
      <c r="O1" s="15"/>
      <c r="P1" s="15"/>
      <c r="R1" s="15"/>
      <c r="S1" s="15"/>
      <c r="U1" s="15"/>
      <c r="V1" s="15"/>
      <c r="X1" s="15"/>
      <c r="Y1" s="15"/>
      <c r="AA1" s="15"/>
      <c r="AB1" s="15"/>
      <c r="AD1" s="15"/>
      <c r="AE1" s="15"/>
      <c r="AG1" s="15"/>
      <c r="AH1" s="15"/>
      <c r="AJ1" s="15"/>
      <c r="AK1" s="15"/>
      <c r="AM1" s="15"/>
      <c r="AN1" s="15"/>
      <c r="AP1" s="15"/>
      <c r="AQ1" s="15"/>
    </row>
    <row r="2" spans="1:44" s="43" customFormat="1" x14ac:dyDescent="0.45">
      <c r="A2" s="42"/>
      <c r="B2" s="46" t="s">
        <v>3</v>
      </c>
      <c r="C2" s="48" t="str">
        <f>Calificacion!B5</f>
        <v>Grupo 1</v>
      </c>
      <c r="D2" s="49"/>
      <c r="E2" s="50"/>
      <c r="F2" s="48" t="str">
        <f>Calificacion!B6</f>
        <v>Grupo 2</v>
      </c>
      <c r="G2" s="49"/>
      <c r="H2" s="50"/>
      <c r="I2" s="48" t="str">
        <f>Calificacion!B7</f>
        <v>Grupo 3</v>
      </c>
      <c r="J2" s="49"/>
      <c r="K2" s="50"/>
      <c r="L2" s="48" t="str">
        <f>Calificacion!B8</f>
        <v>Grupo 4</v>
      </c>
      <c r="M2" s="49"/>
      <c r="N2" s="50"/>
      <c r="O2" s="48" t="str">
        <f>Calificacion!B9</f>
        <v>Grupo 5</v>
      </c>
      <c r="P2" s="49"/>
      <c r="Q2" s="50"/>
      <c r="R2" s="48" t="str">
        <f>Calificacion!B10</f>
        <v>Grupo 6</v>
      </c>
      <c r="S2" s="49"/>
      <c r="T2" s="50"/>
      <c r="U2" s="48" t="str">
        <f>Calificacion!B11</f>
        <v>Grupo 7</v>
      </c>
      <c r="V2" s="49"/>
      <c r="W2" s="50"/>
      <c r="X2" s="48" t="str">
        <f>Calificacion!B12</f>
        <v>Grupo 8</v>
      </c>
      <c r="Y2" s="49"/>
      <c r="Z2" s="50"/>
      <c r="AA2" s="48" t="str">
        <f>Calificacion!B13</f>
        <v>Grupo 9</v>
      </c>
      <c r="AB2" s="49"/>
      <c r="AC2" s="50"/>
      <c r="AD2" s="48" t="str">
        <f>Calificacion!B14</f>
        <v>Grupo 10</v>
      </c>
      <c r="AE2" s="49"/>
      <c r="AF2" s="50"/>
      <c r="AG2" s="48" t="str">
        <f>Calificacion!B15</f>
        <v>Grupo 11</v>
      </c>
      <c r="AH2" s="49"/>
      <c r="AI2" s="50"/>
      <c r="AJ2" s="48" t="str">
        <f>Calificacion!B16</f>
        <v>Grupo 12</v>
      </c>
      <c r="AK2" s="49"/>
      <c r="AL2" s="50"/>
      <c r="AM2" s="48" t="str">
        <f>Calificacion!B17</f>
        <v>Grupo 13</v>
      </c>
      <c r="AN2" s="49"/>
      <c r="AO2" s="50"/>
      <c r="AP2" s="48" t="str">
        <f>Calificacion!B18</f>
        <v>Grupo 14</v>
      </c>
      <c r="AQ2" s="49"/>
      <c r="AR2" s="50"/>
    </row>
    <row r="3" spans="1:44" x14ac:dyDescent="0.45">
      <c r="B3" s="47"/>
      <c r="C3" s="12" t="s">
        <v>1</v>
      </c>
      <c r="D3" s="10" t="s">
        <v>5</v>
      </c>
      <c r="E3" s="13" t="s">
        <v>0</v>
      </c>
      <c r="F3" s="12" t="s">
        <v>1</v>
      </c>
      <c r="G3" s="10" t="s">
        <v>5</v>
      </c>
      <c r="H3" s="13" t="s">
        <v>0</v>
      </c>
      <c r="I3" s="12" t="s">
        <v>1</v>
      </c>
      <c r="J3" s="10" t="s">
        <v>5</v>
      </c>
      <c r="K3" s="13" t="s">
        <v>0</v>
      </c>
      <c r="L3" s="12" t="s">
        <v>1</v>
      </c>
      <c r="M3" s="10" t="s">
        <v>5</v>
      </c>
      <c r="N3" s="13" t="s">
        <v>0</v>
      </c>
      <c r="O3" s="12" t="s">
        <v>1</v>
      </c>
      <c r="P3" s="10" t="s">
        <v>5</v>
      </c>
      <c r="Q3" s="13" t="s">
        <v>0</v>
      </c>
      <c r="R3" s="12" t="s">
        <v>1</v>
      </c>
      <c r="S3" s="10" t="s">
        <v>5</v>
      </c>
      <c r="T3" s="13" t="s">
        <v>0</v>
      </c>
      <c r="U3" s="12" t="s">
        <v>1</v>
      </c>
      <c r="V3" s="10" t="s">
        <v>5</v>
      </c>
      <c r="W3" s="13" t="s">
        <v>0</v>
      </c>
      <c r="X3" s="12" t="s">
        <v>1</v>
      </c>
      <c r="Y3" s="10" t="s">
        <v>5</v>
      </c>
      <c r="Z3" s="13" t="s">
        <v>0</v>
      </c>
      <c r="AA3" s="12" t="s">
        <v>1</v>
      </c>
      <c r="AB3" s="10" t="s">
        <v>5</v>
      </c>
      <c r="AC3" s="13" t="s">
        <v>0</v>
      </c>
      <c r="AD3" s="12" t="s">
        <v>1</v>
      </c>
      <c r="AE3" s="10" t="s">
        <v>5</v>
      </c>
      <c r="AF3" s="13" t="s">
        <v>0</v>
      </c>
      <c r="AG3" s="12" t="s">
        <v>1</v>
      </c>
      <c r="AH3" s="10" t="s">
        <v>5</v>
      </c>
      <c r="AI3" s="13" t="s">
        <v>0</v>
      </c>
      <c r="AJ3" s="12" t="s">
        <v>1</v>
      </c>
      <c r="AK3" s="10" t="s">
        <v>5</v>
      </c>
      <c r="AL3" s="13" t="s">
        <v>0</v>
      </c>
      <c r="AM3" s="12" t="s">
        <v>1</v>
      </c>
      <c r="AN3" s="10" t="s">
        <v>5</v>
      </c>
      <c r="AO3" s="13" t="s">
        <v>0</v>
      </c>
      <c r="AP3" s="12" t="s">
        <v>1</v>
      </c>
      <c r="AQ3" s="10" t="s">
        <v>5</v>
      </c>
      <c r="AR3" s="13" t="s">
        <v>0</v>
      </c>
    </row>
    <row r="4" spans="1:44" ht="30.75" x14ac:dyDescent="0.45">
      <c r="B4" s="11" t="s">
        <v>6</v>
      </c>
      <c r="C4" s="35"/>
      <c r="D4" s="18"/>
      <c r="E4" s="36"/>
      <c r="F4" s="35"/>
      <c r="G4" s="18"/>
      <c r="H4" s="36"/>
      <c r="I4" s="35"/>
      <c r="J4" s="18"/>
      <c r="K4" s="36"/>
      <c r="L4" s="35"/>
      <c r="M4" s="18"/>
      <c r="N4" s="36"/>
      <c r="O4" s="35"/>
      <c r="P4" s="18"/>
      <c r="Q4" s="36"/>
      <c r="R4" s="35"/>
      <c r="S4" s="18"/>
      <c r="T4" s="36"/>
      <c r="U4" s="35"/>
      <c r="V4" s="18"/>
      <c r="W4" s="36"/>
      <c r="X4" s="35"/>
      <c r="Y4" s="18"/>
      <c r="Z4" s="36"/>
      <c r="AA4" s="35"/>
      <c r="AB4" s="18"/>
      <c r="AC4" s="36"/>
      <c r="AD4" s="35"/>
      <c r="AE4" s="18"/>
      <c r="AF4" s="36"/>
      <c r="AG4" s="35"/>
      <c r="AH4" s="18"/>
      <c r="AI4" s="36"/>
      <c r="AJ4" s="35"/>
      <c r="AK4" s="18"/>
      <c r="AL4" s="36"/>
      <c r="AM4" s="35"/>
      <c r="AN4" s="18"/>
      <c r="AO4" s="36"/>
      <c r="AP4" s="35"/>
      <c r="AQ4" s="18"/>
      <c r="AR4" s="36"/>
    </row>
    <row r="5" spans="1:44" x14ac:dyDescent="0.45">
      <c r="B5" s="14" t="s">
        <v>38</v>
      </c>
      <c r="C5" s="35">
        <v>0</v>
      </c>
      <c r="D5" s="18"/>
      <c r="E5" s="36"/>
      <c r="F5" s="35">
        <v>0</v>
      </c>
      <c r="G5" s="18"/>
      <c r="H5" s="36"/>
      <c r="I5" s="35">
        <v>0</v>
      </c>
      <c r="J5" s="18"/>
      <c r="K5" s="36"/>
      <c r="L5" s="35">
        <v>0</v>
      </c>
      <c r="M5" s="18"/>
      <c r="N5" s="36"/>
      <c r="O5" s="35">
        <v>0</v>
      </c>
      <c r="P5" s="18"/>
      <c r="Q5" s="36"/>
      <c r="R5" s="35">
        <v>0</v>
      </c>
      <c r="S5" s="18"/>
      <c r="T5" s="36"/>
      <c r="U5" s="35">
        <v>0</v>
      </c>
      <c r="V5" s="18"/>
      <c r="W5" s="36"/>
      <c r="X5" s="35">
        <v>0</v>
      </c>
      <c r="Y5" s="18"/>
      <c r="Z5" s="36"/>
      <c r="AA5" s="35">
        <v>0</v>
      </c>
      <c r="AB5" s="18"/>
      <c r="AC5" s="36"/>
      <c r="AD5" s="35">
        <v>0</v>
      </c>
      <c r="AE5" s="18"/>
      <c r="AF5" s="36"/>
      <c r="AG5" s="35">
        <v>0</v>
      </c>
      <c r="AH5" s="18"/>
      <c r="AI5" s="36"/>
      <c r="AJ5" s="35">
        <v>0</v>
      </c>
      <c r="AK5" s="18"/>
      <c r="AL5" s="36"/>
      <c r="AM5" s="35">
        <v>0</v>
      </c>
      <c r="AN5" s="18"/>
      <c r="AO5" s="36"/>
      <c r="AP5" s="35">
        <v>0</v>
      </c>
      <c r="AQ5" s="18"/>
      <c r="AR5" s="36"/>
    </row>
    <row r="6" spans="1:44" x14ac:dyDescent="0.45">
      <c r="B6" s="14" t="s">
        <v>39</v>
      </c>
      <c r="C6" s="35"/>
      <c r="D6" s="18"/>
      <c r="E6" s="36"/>
      <c r="F6" s="35"/>
      <c r="G6" s="18"/>
      <c r="H6" s="36"/>
      <c r="I6" s="35"/>
      <c r="J6" s="18"/>
      <c r="K6" s="36"/>
      <c r="L6" s="35"/>
      <c r="M6" s="18"/>
      <c r="N6" s="36"/>
      <c r="O6" s="35"/>
      <c r="P6" s="18"/>
      <c r="Q6" s="36"/>
      <c r="R6" s="35"/>
      <c r="S6" s="18"/>
      <c r="T6" s="36"/>
      <c r="U6" s="35"/>
      <c r="V6" s="18"/>
      <c r="W6" s="36"/>
      <c r="X6" s="35"/>
      <c r="Y6" s="18"/>
      <c r="Z6" s="36"/>
      <c r="AA6" s="35"/>
      <c r="AB6" s="18"/>
      <c r="AC6" s="36"/>
      <c r="AD6" s="35"/>
      <c r="AE6" s="18"/>
      <c r="AF6" s="36"/>
      <c r="AG6" s="35"/>
      <c r="AH6" s="18"/>
      <c r="AI6" s="36"/>
      <c r="AJ6" s="35"/>
      <c r="AK6" s="18"/>
      <c r="AL6" s="36"/>
      <c r="AM6" s="35"/>
      <c r="AN6" s="18"/>
      <c r="AO6" s="36"/>
      <c r="AP6" s="35"/>
      <c r="AQ6" s="18"/>
      <c r="AR6" s="36"/>
    </row>
    <row r="7" spans="1:44" x14ac:dyDescent="0.45">
      <c r="B7" s="14" t="s">
        <v>40</v>
      </c>
      <c r="C7" s="35"/>
      <c r="D7" s="18"/>
      <c r="E7" s="36"/>
      <c r="F7" s="35"/>
      <c r="G7" s="18"/>
      <c r="H7" s="36"/>
      <c r="I7" s="35"/>
      <c r="J7" s="18"/>
      <c r="K7" s="36"/>
      <c r="L7" s="35"/>
      <c r="M7" s="18"/>
      <c r="N7" s="36"/>
      <c r="O7" s="35"/>
      <c r="P7" s="18"/>
      <c r="Q7" s="36"/>
      <c r="R7" s="35"/>
      <c r="S7" s="18"/>
      <c r="T7" s="36"/>
      <c r="U7" s="35"/>
      <c r="V7" s="18"/>
      <c r="W7" s="36"/>
      <c r="X7" s="35"/>
      <c r="Y7" s="18"/>
      <c r="Z7" s="36"/>
      <c r="AA7" s="35"/>
      <c r="AB7" s="18"/>
      <c r="AC7" s="36"/>
      <c r="AD7" s="35"/>
      <c r="AE7" s="18"/>
      <c r="AF7" s="36"/>
      <c r="AG7" s="35"/>
      <c r="AH7" s="18"/>
      <c r="AI7" s="36"/>
      <c r="AJ7" s="35"/>
      <c r="AK7" s="18"/>
      <c r="AL7" s="36"/>
      <c r="AM7" s="35"/>
      <c r="AN7" s="18"/>
      <c r="AO7" s="36"/>
      <c r="AP7" s="35"/>
      <c r="AQ7" s="18"/>
      <c r="AR7" s="36"/>
    </row>
    <row r="8" spans="1:44" x14ac:dyDescent="0.45">
      <c r="B8" s="14" t="s">
        <v>41</v>
      </c>
      <c r="C8" s="35"/>
      <c r="D8" s="41">
        <f>D5-D6</f>
        <v>0</v>
      </c>
      <c r="E8" s="36"/>
      <c r="F8" s="35"/>
      <c r="G8" s="41">
        <f>G5-G6</f>
        <v>0</v>
      </c>
      <c r="H8" s="36"/>
      <c r="I8" s="35"/>
      <c r="J8" s="41">
        <f>J5-J6</f>
        <v>0</v>
      </c>
      <c r="K8" s="36"/>
      <c r="L8" s="35"/>
      <c r="M8" s="41">
        <f>M5-M6</f>
        <v>0</v>
      </c>
      <c r="N8" s="36"/>
      <c r="O8" s="35"/>
      <c r="P8" s="41">
        <f>P5-P6</f>
        <v>0</v>
      </c>
      <c r="Q8" s="36"/>
      <c r="R8" s="35"/>
      <c r="S8" s="41">
        <f>S5-S6</f>
        <v>0</v>
      </c>
      <c r="T8" s="36"/>
      <c r="U8" s="35"/>
      <c r="V8" s="41">
        <f>V5-V6</f>
        <v>0</v>
      </c>
      <c r="W8" s="36"/>
      <c r="X8" s="35"/>
      <c r="Y8" s="41">
        <f>Y5-Y6</f>
        <v>0</v>
      </c>
      <c r="Z8" s="36"/>
      <c r="AA8" s="35"/>
      <c r="AB8" s="41">
        <f>AB5-AB6</f>
        <v>0</v>
      </c>
      <c r="AC8" s="36"/>
      <c r="AD8" s="35"/>
      <c r="AE8" s="41">
        <f>AE5-AE6</f>
        <v>0</v>
      </c>
      <c r="AF8" s="36"/>
      <c r="AG8" s="35"/>
      <c r="AH8" s="41">
        <f>AH5-AH6</f>
        <v>0</v>
      </c>
      <c r="AI8" s="36"/>
      <c r="AJ8" s="35"/>
      <c r="AK8" s="41">
        <f>AK5-AK6</f>
        <v>0</v>
      </c>
      <c r="AL8" s="36"/>
      <c r="AM8" s="35"/>
      <c r="AN8" s="41">
        <f>AN5-AN6</f>
        <v>0</v>
      </c>
      <c r="AO8" s="36"/>
      <c r="AP8" s="35"/>
      <c r="AQ8" s="41">
        <f>AQ5-AQ6</f>
        <v>0</v>
      </c>
      <c r="AR8" s="36"/>
    </row>
    <row r="9" spans="1:44" x14ac:dyDescent="0.45">
      <c r="B9" s="14" t="s">
        <v>41</v>
      </c>
      <c r="C9" s="35"/>
      <c r="D9" s="18"/>
      <c r="E9" s="36"/>
      <c r="F9" s="35"/>
      <c r="G9" s="18"/>
      <c r="H9" s="36"/>
      <c r="I9" s="35"/>
      <c r="J9" s="18"/>
      <c r="K9" s="36"/>
      <c r="L9" s="35"/>
      <c r="M9" s="18"/>
      <c r="N9" s="36"/>
      <c r="O9" s="35"/>
      <c r="P9" s="18"/>
      <c r="Q9" s="36"/>
      <c r="R9" s="35"/>
      <c r="S9" s="18"/>
      <c r="T9" s="36"/>
      <c r="U9" s="35"/>
      <c r="V9" s="18"/>
      <c r="W9" s="36"/>
      <c r="X9" s="35"/>
      <c r="Y9" s="18"/>
      <c r="Z9" s="36"/>
      <c r="AA9" s="35"/>
      <c r="AB9" s="18"/>
      <c r="AC9" s="36"/>
      <c r="AD9" s="35"/>
      <c r="AE9" s="18"/>
      <c r="AF9" s="36"/>
      <c r="AG9" s="35"/>
      <c r="AH9" s="18"/>
      <c r="AI9" s="36"/>
      <c r="AJ9" s="35"/>
      <c r="AK9" s="18"/>
      <c r="AL9" s="36"/>
      <c r="AM9" s="35"/>
      <c r="AN9" s="18"/>
      <c r="AO9" s="36"/>
      <c r="AP9" s="35"/>
      <c r="AQ9" s="18"/>
      <c r="AR9" s="36"/>
    </row>
    <row r="10" spans="1:44" x14ac:dyDescent="0.45">
      <c r="B10" s="14" t="s">
        <v>10</v>
      </c>
      <c r="C10" s="35"/>
      <c r="D10" s="18"/>
      <c r="E10" s="36"/>
      <c r="F10" s="35"/>
      <c r="G10" s="18"/>
      <c r="H10" s="36"/>
      <c r="I10" s="35"/>
      <c r="J10" s="18"/>
      <c r="K10" s="36"/>
      <c r="L10" s="35"/>
      <c r="M10" s="18"/>
      <c r="N10" s="36"/>
      <c r="O10" s="35"/>
      <c r="P10" s="18"/>
      <c r="Q10" s="36"/>
      <c r="R10" s="35"/>
      <c r="S10" s="18"/>
      <c r="T10" s="36"/>
      <c r="U10" s="35"/>
      <c r="V10" s="18"/>
      <c r="W10" s="36"/>
      <c r="X10" s="35"/>
      <c r="Y10" s="18"/>
      <c r="Z10" s="36"/>
      <c r="AA10" s="35"/>
      <c r="AB10" s="18"/>
      <c r="AC10" s="36"/>
      <c r="AD10" s="35"/>
      <c r="AE10" s="18"/>
      <c r="AF10" s="36"/>
      <c r="AG10" s="35"/>
      <c r="AH10" s="18"/>
      <c r="AI10" s="36"/>
      <c r="AJ10" s="35"/>
      <c r="AK10" s="18"/>
      <c r="AL10" s="36"/>
      <c r="AM10" s="35"/>
      <c r="AN10" s="18"/>
      <c r="AO10" s="36"/>
      <c r="AP10" s="35"/>
      <c r="AQ10" s="18"/>
      <c r="AR10" s="36"/>
    </row>
    <row r="11" spans="1:44" x14ac:dyDescent="0.45">
      <c r="B11" s="14" t="s">
        <v>12</v>
      </c>
      <c r="C11" s="35"/>
      <c r="D11" s="40" t="e">
        <f>D9/D10</f>
        <v>#DIV/0!</v>
      </c>
      <c r="E11" s="36"/>
      <c r="F11" s="35"/>
      <c r="G11" s="40" t="e">
        <f>G9/G10</f>
        <v>#DIV/0!</v>
      </c>
      <c r="H11" s="36"/>
      <c r="I11" s="35"/>
      <c r="J11" s="40" t="e">
        <f>J9/J10</f>
        <v>#DIV/0!</v>
      </c>
      <c r="K11" s="36"/>
      <c r="L11" s="35"/>
      <c r="M11" s="40" t="e">
        <f>M9/M10</f>
        <v>#DIV/0!</v>
      </c>
      <c r="N11" s="36"/>
      <c r="O11" s="35"/>
      <c r="P11" s="40" t="e">
        <f>P9/P10</f>
        <v>#DIV/0!</v>
      </c>
      <c r="Q11" s="36"/>
      <c r="R11" s="35"/>
      <c r="S11" s="40" t="e">
        <f>S9/S10</f>
        <v>#DIV/0!</v>
      </c>
      <c r="T11" s="36"/>
      <c r="U11" s="35"/>
      <c r="V11" s="40" t="e">
        <f>V9/V10</f>
        <v>#DIV/0!</v>
      </c>
      <c r="W11" s="36"/>
      <c r="X11" s="35"/>
      <c r="Y11" s="40" t="e">
        <f>Y9/Y10</f>
        <v>#DIV/0!</v>
      </c>
      <c r="Z11" s="36"/>
      <c r="AA11" s="35"/>
      <c r="AB11" s="40" t="e">
        <f>AB9/AB10</f>
        <v>#DIV/0!</v>
      </c>
      <c r="AC11" s="36"/>
      <c r="AD11" s="35"/>
      <c r="AE11" s="40" t="e">
        <f>AE9/AE10</f>
        <v>#DIV/0!</v>
      </c>
      <c r="AF11" s="36"/>
      <c r="AG11" s="35"/>
      <c r="AH11" s="40" t="e">
        <f>AH9/AH10</f>
        <v>#DIV/0!</v>
      </c>
      <c r="AI11" s="36"/>
      <c r="AJ11" s="35"/>
      <c r="AK11" s="40" t="e">
        <f>AK9/AK10</f>
        <v>#DIV/0!</v>
      </c>
      <c r="AL11" s="36"/>
      <c r="AM11" s="35"/>
      <c r="AN11" s="40" t="e">
        <f>AN9/AN10</f>
        <v>#DIV/0!</v>
      </c>
      <c r="AO11" s="36"/>
      <c r="AP11" s="35"/>
      <c r="AQ11" s="40" t="e">
        <f>AQ9/AQ10</f>
        <v>#DIV/0!</v>
      </c>
      <c r="AR11" s="36"/>
    </row>
    <row r="12" spans="1:44" ht="30.75" x14ac:dyDescent="0.45">
      <c r="B12" s="11" t="s">
        <v>8</v>
      </c>
      <c r="C12" s="35"/>
      <c r="D12" s="18"/>
      <c r="E12" s="36"/>
      <c r="F12" s="35"/>
      <c r="G12" s="18"/>
      <c r="H12" s="36"/>
      <c r="I12" s="35"/>
      <c r="J12" s="18"/>
      <c r="K12" s="36"/>
      <c r="L12" s="35"/>
      <c r="M12" s="18"/>
      <c r="N12" s="36"/>
      <c r="O12" s="35"/>
      <c r="P12" s="18"/>
      <c r="Q12" s="36"/>
      <c r="R12" s="35"/>
      <c r="S12" s="18"/>
      <c r="T12" s="36"/>
      <c r="U12" s="35"/>
      <c r="V12" s="18"/>
      <c r="W12" s="36"/>
      <c r="X12" s="35"/>
      <c r="Y12" s="18"/>
      <c r="Z12" s="36"/>
      <c r="AA12" s="35"/>
      <c r="AB12" s="18"/>
      <c r="AC12" s="36"/>
      <c r="AD12" s="35"/>
      <c r="AE12" s="18"/>
      <c r="AF12" s="36"/>
      <c r="AG12" s="35"/>
      <c r="AH12" s="18"/>
      <c r="AI12" s="36"/>
      <c r="AJ12" s="35"/>
      <c r="AK12" s="18"/>
      <c r="AL12" s="36"/>
      <c r="AM12" s="35"/>
      <c r="AN12" s="18"/>
      <c r="AO12" s="36"/>
      <c r="AP12" s="35"/>
      <c r="AQ12" s="18"/>
      <c r="AR12" s="36"/>
    </row>
    <row r="13" spans="1:44" x14ac:dyDescent="0.45">
      <c r="B13" s="14" t="s">
        <v>11</v>
      </c>
      <c r="C13" s="35"/>
      <c r="D13" s="18"/>
      <c r="E13" s="36"/>
      <c r="F13" s="35"/>
      <c r="G13" s="18"/>
      <c r="H13" s="36"/>
      <c r="I13" s="35"/>
      <c r="J13" s="18"/>
      <c r="K13" s="36"/>
      <c r="L13" s="35"/>
      <c r="M13" s="18"/>
      <c r="N13" s="36"/>
      <c r="O13" s="35"/>
      <c r="P13" s="18"/>
      <c r="Q13" s="36"/>
      <c r="R13" s="35"/>
      <c r="S13" s="18"/>
      <c r="T13" s="36"/>
      <c r="U13" s="35"/>
      <c r="V13" s="18"/>
      <c r="W13" s="36"/>
      <c r="X13" s="35"/>
      <c r="Y13" s="18"/>
      <c r="Z13" s="36"/>
      <c r="AA13" s="35"/>
      <c r="AB13" s="18"/>
      <c r="AC13" s="36"/>
      <c r="AD13" s="35"/>
      <c r="AE13" s="18"/>
      <c r="AF13" s="36"/>
      <c r="AG13" s="35"/>
      <c r="AH13" s="18"/>
      <c r="AI13" s="36"/>
      <c r="AJ13" s="35"/>
      <c r="AK13" s="18"/>
      <c r="AL13" s="36"/>
      <c r="AM13" s="35"/>
      <c r="AN13" s="18"/>
      <c r="AO13" s="36"/>
      <c r="AP13" s="35"/>
      <c r="AQ13" s="18"/>
      <c r="AR13" s="36"/>
    </row>
    <row r="14" spans="1:44" x14ac:dyDescent="0.45">
      <c r="B14" s="14" t="s">
        <v>13</v>
      </c>
      <c r="C14" s="35"/>
      <c r="D14" s="18"/>
      <c r="E14" s="36"/>
      <c r="F14" s="35"/>
      <c r="G14" s="18"/>
      <c r="H14" s="36"/>
      <c r="I14" s="35"/>
      <c r="J14" s="18"/>
      <c r="K14" s="36"/>
      <c r="L14" s="35"/>
      <c r="M14" s="18"/>
      <c r="N14" s="36"/>
      <c r="O14" s="35"/>
      <c r="P14" s="18"/>
      <c r="Q14" s="36"/>
      <c r="R14" s="35"/>
      <c r="S14" s="18"/>
      <c r="T14" s="36"/>
      <c r="U14" s="35"/>
      <c r="V14" s="18"/>
      <c r="W14" s="36"/>
      <c r="X14" s="35"/>
      <c r="Y14" s="18"/>
      <c r="Z14" s="36"/>
      <c r="AA14" s="35"/>
      <c r="AB14" s="18"/>
      <c r="AC14" s="36"/>
      <c r="AD14" s="35"/>
      <c r="AE14" s="18"/>
      <c r="AF14" s="36"/>
      <c r="AG14" s="35"/>
      <c r="AH14" s="18"/>
      <c r="AI14" s="36"/>
      <c r="AJ14" s="35"/>
      <c r="AK14" s="18"/>
      <c r="AL14" s="36"/>
      <c r="AM14" s="35"/>
      <c r="AN14" s="18"/>
      <c r="AO14" s="36"/>
      <c r="AP14" s="35"/>
      <c r="AQ14" s="18"/>
      <c r="AR14" s="36"/>
    </row>
    <row r="15" spans="1:44" x14ac:dyDescent="0.45">
      <c r="B15" s="14" t="s">
        <v>12</v>
      </c>
      <c r="C15" s="35"/>
      <c r="D15" s="19"/>
      <c r="E15" s="36"/>
      <c r="F15" s="35"/>
      <c r="G15" s="19"/>
      <c r="H15" s="36"/>
      <c r="I15" s="35"/>
      <c r="J15" s="19"/>
      <c r="K15" s="36"/>
      <c r="L15" s="35"/>
      <c r="M15" s="19"/>
      <c r="N15" s="36"/>
      <c r="O15" s="35"/>
      <c r="P15" s="19"/>
      <c r="Q15" s="36"/>
      <c r="R15" s="35"/>
      <c r="S15" s="19"/>
      <c r="T15" s="36"/>
      <c r="U15" s="35"/>
      <c r="V15" s="19"/>
      <c r="W15" s="36"/>
      <c r="X15" s="35"/>
      <c r="Y15" s="19"/>
      <c r="Z15" s="36"/>
      <c r="AA15" s="35"/>
      <c r="AB15" s="19"/>
      <c r="AC15" s="36"/>
      <c r="AD15" s="35"/>
      <c r="AE15" s="19"/>
      <c r="AF15" s="36"/>
      <c r="AG15" s="35"/>
      <c r="AH15" s="19"/>
      <c r="AI15" s="36"/>
      <c r="AJ15" s="35"/>
      <c r="AK15" s="19"/>
      <c r="AL15" s="36"/>
      <c r="AM15" s="35"/>
      <c r="AN15" s="19"/>
      <c r="AO15" s="36"/>
      <c r="AP15" s="35"/>
      <c r="AQ15" s="19"/>
      <c r="AR15" s="36"/>
    </row>
    <row r="16" spans="1:44" x14ac:dyDescent="0.45">
      <c r="B16" s="11" t="s">
        <v>7</v>
      </c>
      <c r="C16" s="35"/>
      <c r="D16" s="18"/>
      <c r="E16" s="36"/>
      <c r="F16" s="35"/>
      <c r="G16" s="18"/>
      <c r="H16" s="36"/>
      <c r="I16" s="35"/>
      <c r="J16" s="18"/>
      <c r="K16" s="36"/>
      <c r="L16" s="35"/>
      <c r="M16" s="18"/>
      <c r="N16" s="36"/>
      <c r="O16" s="35"/>
      <c r="P16" s="18"/>
      <c r="Q16" s="36"/>
      <c r="R16" s="35"/>
      <c r="S16" s="18"/>
      <c r="T16" s="36"/>
      <c r="U16" s="35"/>
      <c r="V16" s="18"/>
      <c r="W16" s="36"/>
      <c r="X16" s="35"/>
      <c r="Y16" s="18"/>
      <c r="Z16" s="36"/>
      <c r="AA16" s="35"/>
      <c r="AB16" s="18"/>
      <c r="AC16" s="36"/>
      <c r="AD16" s="35"/>
      <c r="AE16" s="18"/>
      <c r="AF16" s="36"/>
      <c r="AG16" s="35"/>
      <c r="AH16" s="18"/>
      <c r="AI16" s="36"/>
      <c r="AJ16" s="35"/>
      <c r="AK16" s="18"/>
      <c r="AL16" s="36"/>
      <c r="AM16" s="35"/>
      <c r="AN16" s="18"/>
      <c r="AO16" s="36"/>
      <c r="AP16" s="35"/>
      <c r="AQ16" s="18"/>
      <c r="AR16" s="36"/>
    </row>
    <row r="17" spans="1:44" x14ac:dyDescent="0.45">
      <c r="B17" s="14" t="s">
        <v>42</v>
      </c>
      <c r="C17" s="35"/>
      <c r="D17" s="18"/>
      <c r="E17" s="36"/>
      <c r="F17" s="35"/>
      <c r="G17" s="18"/>
      <c r="H17" s="36"/>
      <c r="I17" s="35"/>
      <c r="J17" s="18"/>
      <c r="K17" s="36"/>
      <c r="L17" s="35"/>
      <c r="M17" s="18"/>
      <c r="N17" s="36"/>
      <c r="O17" s="35"/>
      <c r="P17" s="18"/>
      <c r="Q17" s="36"/>
      <c r="R17" s="35"/>
      <c r="S17" s="18"/>
      <c r="T17" s="36"/>
      <c r="U17" s="35"/>
      <c r="V17" s="18"/>
      <c r="W17" s="36"/>
      <c r="X17" s="35"/>
      <c r="Y17" s="18"/>
      <c r="Z17" s="36"/>
      <c r="AA17" s="35"/>
      <c r="AB17" s="18"/>
      <c r="AC17" s="36"/>
      <c r="AD17" s="35"/>
      <c r="AE17" s="18"/>
      <c r="AF17" s="36"/>
      <c r="AG17" s="35"/>
      <c r="AH17" s="18"/>
      <c r="AI17" s="36"/>
      <c r="AJ17" s="35"/>
      <c r="AK17" s="18"/>
      <c r="AL17" s="36"/>
      <c r="AM17" s="35"/>
      <c r="AN17" s="18"/>
      <c r="AO17" s="36"/>
      <c r="AP17" s="35"/>
      <c r="AQ17" s="18"/>
      <c r="AR17" s="36"/>
    </row>
    <row r="18" spans="1:44" x14ac:dyDescent="0.45">
      <c r="B18" s="14" t="s">
        <v>43</v>
      </c>
      <c r="C18" s="35"/>
      <c r="D18" s="18"/>
      <c r="E18" s="36"/>
      <c r="F18" s="35"/>
      <c r="G18" s="18"/>
      <c r="H18" s="36"/>
      <c r="I18" s="35"/>
      <c r="J18" s="18"/>
      <c r="K18" s="36"/>
      <c r="L18" s="35"/>
      <c r="M18" s="18"/>
      <c r="N18" s="36"/>
      <c r="O18" s="35"/>
      <c r="P18" s="18"/>
      <c r="Q18" s="36"/>
      <c r="R18" s="35"/>
      <c r="S18" s="18"/>
      <c r="T18" s="36"/>
      <c r="U18" s="35"/>
      <c r="V18" s="18"/>
      <c r="W18" s="36"/>
      <c r="X18" s="35"/>
      <c r="Y18" s="18"/>
      <c r="Z18" s="36"/>
      <c r="AA18" s="35"/>
      <c r="AB18" s="18"/>
      <c r="AC18" s="36"/>
      <c r="AD18" s="35"/>
      <c r="AE18" s="18"/>
      <c r="AF18" s="36"/>
      <c r="AG18" s="35"/>
      <c r="AH18" s="18"/>
      <c r="AI18" s="36"/>
      <c r="AJ18" s="35"/>
      <c r="AK18" s="18"/>
      <c r="AL18" s="36"/>
      <c r="AM18" s="35"/>
      <c r="AN18" s="18"/>
      <c r="AO18" s="36"/>
      <c r="AP18" s="35"/>
      <c r="AQ18" s="18"/>
      <c r="AR18" s="36"/>
    </row>
    <row r="19" spans="1:44" x14ac:dyDescent="0.45">
      <c r="B19" s="14" t="s">
        <v>14</v>
      </c>
      <c r="C19" s="35"/>
      <c r="D19" s="18"/>
      <c r="E19" s="36"/>
      <c r="F19" s="35"/>
      <c r="G19" s="18"/>
      <c r="H19" s="36"/>
      <c r="I19" s="35"/>
      <c r="J19" s="18"/>
      <c r="K19" s="36"/>
      <c r="L19" s="35"/>
      <c r="M19" s="18"/>
      <c r="N19" s="36"/>
      <c r="O19" s="35"/>
      <c r="P19" s="18"/>
      <c r="Q19" s="36"/>
      <c r="R19" s="35"/>
      <c r="S19" s="18"/>
      <c r="T19" s="36"/>
      <c r="U19" s="35"/>
      <c r="V19" s="18"/>
      <c r="W19" s="36"/>
      <c r="X19" s="35"/>
      <c r="Y19" s="18"/>
      <c r="Z19" s="36"/>
      <c r="AA19" s="35"/>
      <c r="AB19" s="18"/>
      <c r="AC19" s="36"/>
      <c r="AD19" s="35"/>
      <c r="AE19" s="18"/>
      <c r="AF19" s="36"/>
      <c r="AG19" s="35"/>
      <c r="AH19" s="18"/>
      <c r="AI19" s="36"/>
      <c r="AJ19" s="35"/>
      <c r="AK19" s="18"/>
      <c r="AL19" s="36"/>
      <c r="AM19" s="35"/>
      <c r="AN19" s="18"/>
      <c r="AO19" s="36"/>
      <c r="AP19" s="35"/>
      <c r="AQ19" s="18"/>
      <c r="AR19" s="36"/>
    </row>
    <row r="20" spans="1:44" x14ac:dyDescent="0.45">
      <c r="B20" s="14" t="s">
        <v>12</v>
      </c>
      <c r="C20" s="35"/>
      <c r="D20" s="40" t="e">
        <f>D17/D19</f>
        <v>#DIV/0!</v>
      </c>
      <c r="E20" s="36"/>
      <c r="F20" s="35"/>
      <c r="G20" s="40" t="e">
        <f>G17/G19</f>
        <v>#DIV/0!</v>
      </c>
      <c r="H20" s="36"/>
      <c r="I20" s="35"/>
      <c r="J20" s="40" t="e">
        <f>J17/J19</f>
        <v>#DIV/0!</v>
      </c>
      <c r="K20" s="36"/>
      <c r="L20" s="35"/>
      <c r="M20" s="40" t="e">
        <f>M17/M19</f>
        <v>#DIV/0!</v>
      </c>
      <c r="N20" s="36"/>
      <c r="O20" s="35"/>
      <c r="P20" s="40" t="e">
        <f>P17/P19</f>
        <v>#DIV/0!</v>
      </c>
      <c r="Q20" s="36"/>
      <c r="R20" s="35"/>
      <c r="S20" s="40" t="e">
        <f>S17/S19</f>
        <v>#DIV/0!</v>
      </c>
      <c r="T20" s="36"/>
      <c r="U20" s="35"/>
      <c r="V20" s="40" t="e">
        <f>V17/V19</f>
        <v>#DIV/0!</v>
      </c>
      <c r="W20" s="36"/>
      <c r="X20" s="35"/>
      <c r="Y20" s="40" t="e">
        <f>Y17/Y19</f>
        <v>#DIV/0!</v>
      </c>
      <c r="Z20" s="36"/>
      <c r="AA20" s="35"/>
      <c r="AB20" s="40" t="e">
        <f>AB17/AB19</f>
        <v>#DIV/0!</v>
      </c>
      <c r="AC20" s="36"/>
      <c r="AD20" s="35"/>
      <c r="AE20" s="40" t="e">
        <f>AE17/AE19</f>
        <v>#DIV/0!</v>
      </c>
      <c r="AF20" s="36"/>
      <c r="AG20" s="35"/>
      <c r="AH20" s="40" t="e">
        <f>AH17/AH19</f>
        <v>#DIV/0!</v>
      </c>
      <c r="AI20" s="36"/>
      <c r="AJ20" s="35"/>
      <c r="AK20" s="40" t="e">
        <f>AK17/AK19</f>
        <v>#DIV/0!</v>
      </c>
      <c r="AL20" s="36"/>
      <c r="AM20" s="35"/>
      <c r="AN20" s="40" t="e">
        <f>AN17/AN19</f>
        <v>#DIV/0!</v>
      </c>
      <c r="AO20" s="36"/>
      <c r="AP20" s="35"/>
      <c r="AQ20" s="40" t="e">
        <f>AQ17/AQ19</f>
        <v>#DIV/0!</v>
      </c>
      <c r="AR20" s="36"/>
    </row>
    <row r="21" spans="1:44" x14ac:dyDescent="0.45">
      <c r="B21" s="11" t="s">
        <v>4</v>
      </c>
      <c r="C21" s="35"/>
      <c r="D21" s="18"/>
      <c r="E21" s="36"/>
      <c r="F21" s="35"/>
      <c r="G21" s="18"/>
      <c r="H21" s="36"/>
      <c r="I21" s="35"/>
      <c r="J21" s="18"/>
      <c r="K21" s="36"/>
      <c r="L21" s="35"/>
      <c r="M21" s="18"/>
      <c r="N21" s="36"/>
      <c r="O21" s="35"/>
      <c r="P21" s="18"/>
      <c r="Q21" s="36"/>
      <c r="R21" s="35"/>
      <c r="S21" s="18"/>
      <c r="T21" s="36"/>
      <c r="U21" s="35"/>
      <c r="V21" s="18"/>
      <c r="W21" s="36"/>
      <c r="X21" s="35"/>
      <c r="Y21" s="18"/>
      <c r="Z21" s="36"/>
      <c r="AA21" s="35"/>
      <c r="AB21" s="18"/>
      <c r="AC21" s="36"/>
      <c r="AD21" s="35"/>
      <c r="AE21" s="18"/>
      <c r="AF21" s="36"/>
      <c r="AG21" s="35"/>
      <c r="AH21" s="18"/>
      <c r="AI21" s="36"/>
      <c r="AJ21" s="35"/>
      <c r="AK21" s="18"/>
      <c r="AL21" s="36"/>
      <c r="AM21" s="35"/>
      <c r="AN21" s="18"/>
      <c r="AO21" s="36"/>
      <c r="AP21" s="35"/>
      <c r="AQ21" s="18"/>
      <c r="AR21" s="36"/>
    </row>
    <row r="22" spans="1:44" ht="30.75" x14ac:dyDescent="0.45">
      <c r="B22" s="14" t="s">
        <v>9</v>
      </c>
      <c r="C22" s="35"/>
      <c r="D22" s="18"/>
      <c r="E22" s="36"/>
      <c r="F22" s="35"/>
      <c r="G22" s="18"/>
      <c r="H22" s="36"/>
      <c r="I22" s="35"/>
      <c r="J22" s="18"/>
      <c r="K22" s="36"/>
      <c r="L22" s="35"/>
      <c r="M22" s="18"/>
      <c r="N22" s="36"/>
      <c r="O22" s="35"/>
      <c r="P22" s="18"/>
      <c r="Q22" s="36"/>
      <c r="R22" s="35"/>
      <c r="S22" s="18"/>
      <c r="T22" s="36"/>
      <c r="U22" s="35"/>
      <c r="V22" s="18"/>
      <c r="W22" s="36"/>
      <c r="X22" s="35"/>
      <c r="Y22" s="18"/>
      <c r="Z22" s="36"/>
      <c r="AA22" s="35"/>
      <c r="AB22" s="18"/>
      <c r="AC22" s="36"/>
      <c r="AD22" s="35"/>
      <c r="AE22" s="18"/>
      <c r="AF22" s="36"/>
      <c r="AG22" s="35"/>
      <c r="AH22" s="18"/>
      <c r="AI22" s="36"/>
      <c r="AJ22" s="35"/>
      <c r="AK22" s="18"/>
      <c r="AL22" s="36"/>
      <c r="AM22" s="35"/>
      <c r="AN22" s="18"/>
      <c r="AO22" s="36"/>
      <c r="AP22" s="35"/>
      <c r="AQ22" s="18"/>
      <c r="AR22" s="36"/>
    </row>
    <row r="23" spans="1:44" ht="30.75" x14ac:dyDescent="0.45">
      <c r="B23" s="14" t="s">
        <v>15</v>
      </c>
      <c r="C23" s="35"/>
      <c r="D23" s="18"/>
      <c r="E23" s="36"/>
      <c r="F23" s="35"/>
      <c r="G23" s="18"/>
      <c r="H23" s="36"/>
      <c r="I23" s="35"/>
      <c r="J23" s="18"/>
      <c r="K23" s="36"/>
      <c r="L23" s="35"/>
      <c r="M23" s="18"/>
      <c r="N23" s="36"/>
      <c r="O23" s="35"/>
      <c r="P23" s="18"/>
      <c r="Q23" s="36"/>
      <c r="R23" s="35"/>
      <c r="S23" s="18"/>
      <c r="T23" s="36"/>
      <c r="U23" s="35"/>
      <c r="V23" s="18"/>
      <c r="W23" s="36"/>
      <c r="X23" s="35"/>
      <c r="Y23" s="18"/>
      <c r="Z23" s="36"/>
      <c r="AA23" s="35"/>
      <c r="AB23" s="18"/>
      <c r="AC23" s="36"/>
      <c r="AD23" s="35"/>
      <c r="AE23" s="18"/>
      <c r="AF23" s="36"/>
      <c r="AG23" s="35"/>
      <c r="AH23" s="18"/>
      <c r="AI23" s="36"/>
      <c r="AJ23" s="35"/>
      <c r="AK23" s="18"/>
      <c r="AL23" s="36"/>
      <c r="AM23" s="35"/>
      <c r="AN23" s="18"/>
      <c r="AO23" s="36"/>
      <c r="AP23" s="35"/>
      <c r="AQ23" s="18"/>
      <c r="AR23" s="36"/>
    </row>
    <row r="24" spans="1:44" ht="30.75" x14ac:dyDescent="0.45">
      <c r="B24" s="14" t="s">
        <v>37</v>
      </c>
      <c r="C24" s="35"/>
      <c r="D24" s="18"/>
      <c r="E24" s="36"/>
      <c r="F24" s="35"/>
      <c r="G24" s="18"/>
      <c r="H24" s="36"/>
      <c r="I24" s="35"/>
      <c r="J24" s="18"/>
      <c r="K24" s="36"/>
      <c r="L24" s="35"/>
      <c r="M24" s="18"/>
      <c r="N24" s="36"/>
      <c r="O24" s="35"/>
      <c r="P24" s="18"/>
      <c r="Q24" s="36"/>
      <c r="R24" s="35"/>
      <c r="S24" s="18"/>
      <c r="T24" s="36"/>
      <c r="U24" s="35"/>
      <c r="V24" s="18"/>
      <c r="W24" s="36"/>
      <c r="X24" s="35"/>
      <c r="Y24" s="18"/>
      <c r="Z24" s="36"/>
      <c r="AA24" s="35"/>
      <c r="AB24" s="18"/>
      <c r="AC24" s="36"/>
      <c r="AD24" s="35"/>
      <c r="AE24" s="18"/>
      <c r="AF24" s="36"/>
      <c r="AG24" s="35"/>
      <c r="AH24" s="18"/>
      <c r="AI24" s="36"/>
      <c r="AJ24" s="35"/>
      <c r="AK24" s="18"/>
      <c r="AL24" s="36"/>
      <c r="AM24" s="35"/>
      <c r="AN24" s="18"/>
      <c r="AO24" s="36"/>
      <c r="AP24" s="35"/>
      <c r="AQ24" s="18"/>
      <c r="AR24" s="36"/>
    </row>
    <row r="25" spans="1:44" ht="76.900000000000006" x14ac:dyDescent="0.45">
      <c r="B25" s="14" t="s">
        <v>36</v>
      </c>
      <c r="C25" s="35"/>
      <c r="D25" s="18"/>
      <c r="E25" s="36"/>
      <c r="F25" s="35"/>
      <c r="G25" s="18"/>
      <c r="H25" s="36"/>
      <c r="I25" s="35"/>
      <c r="J25" s="18"/>
      <c r="K25" s="36"/>
      <c r="L25" s="35"/>
      <c r="M25" s="18"/>
      <c r="N25" s="36"/>
      <c r="O25" s="35"/>
      <c r="P25" s="18"/>
      <c r="Q25" s="36"/>
      <c r="R25" s="35"/>
      <c r="S25" s="18"/>
      <c r="T25" s="36"/>
      <c r="U25" s="35"/>
      <c r="V25" s="18"/>
      <c r="W25" s="36"/>
      <c r="X25" s="35"/>
      <c r="Y25" s="18"/>
      <c r="Z25" s="36"/>
      <c r="AA25" s="35"/>
      <c r="AB25" s="18"/>
      <c r="AC25" s="36"/>
      <c r="AD25" s="35"/>
      <c r="AE25" s="18"/>
      <c r="AF25" s="36"/>
      <c r="AG25" s="35"/>
      <c r="AH25" s="18"/>
      <c r="AI25" s="36"/>
      <c r="AJ25" s="35"/>
      <c r="AK25" s="18"/>
      <c r="AL25" s="36"/>
      <c r="AM25" s="35"/>
      <c r="AN25" s="18"/>
      <c r="AO25" s="36"/>
      <c r="AP25" s="35"/>
      <c r="AQ25" s="18"/>
      <c r="AR25" s="36"/>
    </row>
    <row r="26" spans="1:44" x14ac:dyDescent="0.45">
      <c r="B26" s="33"/>
      <c r="C26" s="37"/>
      <c r="D26" s="38"/>
      <c r="E26" s="39"/>
      <c r="F26" s="37"/>
      <c r="G26" s="38"/>
      <c r="H26" s="39"/>
      <c r="I26" s="37"/>
      <c r="J26" s="38"/>
      <c r="K26" s="39"/>
      <c r="L26" s="37"/>
      <c r="M26" s="38"/>
      <c r="N26" s="39"/>
      <c r="O26" s="37"/>
      <c r="P26" s="38"/>
      <c r="Q26" s="39"/>
      <c r="R26" s="37"/>
      <c r="S26" s="38"/>
      <c r="T26" s="39"/>
      <c r="U26" s="37"/>
      <c r="V26" s="38"/>
      <c r="W26" s="39"/>
      <c r="X26" s="37"/>
      <c r="Y26" s="38"/>
      <c r="Z26" s="39"/>
      <c r="AA26" s="37"/>
      <c r="AB26" s="38"/>
      <c r="AC26" s="39"/>
      <c r="AD26" s="37"/>
      <c r="AE26" s="38"/>
      <c r="AF26" s="39"/>
      <c r="AG26" s="37"/>
      <c r="AH26" s="38"/>
      <c r="AI26" s="39"/>
      <c r="AJ26" s="37"/>
      <c r="AK26" s="38"/>
      <c r="AL26" s="39"/>
      <c r="AM26" s="37"/>
      <c r="AN26" s="38"/>
      <c r="AO26" s="39"/>
      <c r="AP26" s="37"/>
      <c r="AQ26" s="38"/>
      <c r="AR26" s="39"/>
    </row>
    <row r="27" spans="1:44" s="2" customFormat="1" x14ac:dyDescent="0.45">
      <c r="A27" s="1"/>
      <c r="B27" s="34" t="s">
        <v>1</v>
      </c>
      <c r="C27" s="51">
        <f>AVERAGE(C4:C26)</f>
        <v>0</v>
      </c>
      <c r="D27" s="51"/>
      <c r="E27" s="52"/>
      <c r="F27" s="51">
        <f>AVERAGE(F4:F26)</f>
        <v>0</v>
      </c>
      <c r="G27" s="51"/>
      <c r="H27" s="52"/>
      <c r="I27" s="51">
        <f>AVERAGE(I4:I26)</f>
        <v>0</v>
      </c>
      <c r="J27" s="51"/>
      <c r="K27" s="52"/>
      <c r="L27" s="51">
        <f>AVERAGE(L4:L26)</f>
        <v>0</v>
      </c>
      <c r="M27" s="51"/>
      <c r="N27" s="52"/>
      <c r="O27" s="51">
        <f>AVERAGE(O4:O26)</f>
        <v>0</v>
      </c>
      <c r="P27" s="51"/>
      <c r="Q27" s="52"/>
      <c r="R27" s="51">
        <f>AVERAGE(R4:R26)</f>
        <v>0</v>
      </c>
      <c r="S27" s="51"/>
      <c r="T27" s="52"/>
      <c r="U27" s="51">
        <f>AVERAGE(U4:U26)</f>
        <v>0</v>
      </c>
      <c r="V27" s="51"/>
      <c r="W27" s="52"/>
      <c r="X27" s="51">
        <f>AVERAGE(X4:X26)</f>
        <v>0</v>
      </c>
      <c r="Y27" s="51"/>
      <c r="Z27" s="52"/>
      <c r="AA27" s="51">
        <f>AVERAGE(AA4:AA26)</f>
        <v>0</v>
      </c>
      <c r="AB27" s="51"/>
      <c r="AC27" s="52"/>
      <c r="AD27" s="51">
        <f>AVERAGE(AD4:AD26)</f>
        <v>0</v>
      </c>
      <c r="AE27" s="51"/>
      <c r="AF27" s="52"/>
      <c r="AG27" s="51">
        <f>AVERAGE(AG4:AG26)</f>
        <v>0</v>
      </c>
      <c r="AH27" s="51"/>
      <c r="AI27" s="52"/>
      <c r="AJ27" s="51">
        <f>AVERAGE(AJ4:AJ26)</f>
        <v>0</v>
      </c>
      <c r="AK27" s="51"/>
      <c r="AL27" s="52"/>
      <c r="AM27" s="51">
        <f>AVERAGE(AM4:AM26)</f>
        <v>0</v>
      </c>
      <c r="AN27" s="51"/>
      <c r="AO27" s="52"/>
      <c r="AP27" s="51">
        <f>AVERAGE(AP4:AP26)</f>
        <v>0</v>
      </c>
      <c r="AQ27" s="51"/>
      <c r="AR27" s="52"/>
    </row>
    <row r="28" spans="1:44" s="9" customFormat="1" x14ac:dyDescent="0.45">
      <c r="B28" s="16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</row>
    <row r="29" spans="1:44" s="9" customFormat="1" x14ac:dyDescent="0.45">
      <c r="B29" s="8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</row>
    <row r="30" spans="1:44" s="9" customFormat="1" x14ac:dyDescent="0.45">
      <c r="B30" s="8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</row>
    <row r="31" spans="1:44" s="9" customFormat="1" x14ac:dyDescent="0.45">
      <c r="B31" s="8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</row>
    <row r="32" spans="1:44" s="9" customFormat="1" x14ac:dyDescent="0.45">
      <c r="B32" s="8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</row>
    <row r="33" spans="2:44" s="9" customFormat="1" x14ac:dyDescent="0.45">
      <c r="B33" s="8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</row>
    <row r="34" spans="2:44" s="9" customFormat="1" x14ac:dyDescent="0.45">
      <c r="B34" s="8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</row>
    <row r="35" spans="2:44" s="9" customFormat="1" x14ac:dyDescent="0.45">
      <c r="B35" s="8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</row>
    <row r="36" spans="2:44" s="9" customFormat="1" x14ac:dyDescent="0.45">
      <c r="B36" s="8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</row>
    <row r="37" spans="2:44" s="9" customFormat="1" x14ac:dyDescent="0.45">
      <c r="B37" s="8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</row>
    <row r="38" spans="2:44" s="9" customFormat="1" x14ac:dyDescent="0.45">
      <c r="B38" s="8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</row>
    <row r="39" spans="2:44" s="9" customFormat="1" x14ac:dyDescent="0.45">
      <c r="B39" s="8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</row>
    <row r="40" spans="2:44" s="9" customFormat="1" x14ac:dyDescent="0.45">
      <c r="B40" s="8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</row>
    <row r="41" spans="2:44" s="9" customFormat="1" x14ac:dyDescent="0.45">
      <c r="B41" s="8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</row>
    <row r="42" spans="2:44" s="9" customFormat="1" x14ac:dyDescent="0.45">
      <c r="B42" s="8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</row>
    <row r="43" spans="2:44" s="9" customFormat="1" x14ac:dyDescent="0.45">
      <c r="B43" s="8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</row>
    <row r="44" spans="2:44" s="9" customFormat="1" x14ac:dyDescent="0.45">
      <c r="B44" s="8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</row>
    <row r="45" spans="2:44" s="9" customFormat="1" x14ac:dyDescent="0.45">
      <c r="B45" s="8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</row>
    <row r="46" spans="2:44" s="9" customFormat="1" x14ac:dyDescent="0.45">
      <c r="B46" s="8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</row>
    <row r="47" spans="2:44" s="9" customFormat="1" x14ac:dyDescent="0.45">
      <c r="B47" s="8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</row>
    <row r="48" spans="2:44" s="9" customFormat="1" x14ac:dyDescent="0.45">
      <c r="B48" s="8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</row>
    <row r="49" spans="2:44" s="9" customFormat="1" x14ac:dyDescent="0.45">
      <c r="B49" s="8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</row>
    <row r="50" spans="2:44" s="9" customFormat="1" x14ac:dyDescent="0.45">
      <c r="B50" s="8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</row>
    <row r="51" spans="2:44" s="9" customFormat="1" x14ac:dyDescent="0.45">
      <c r="B51" s="8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</row>
    <row r="52" spans="2:44" s="9" customFormat="1" x14ac:dyDescent="0.45">
      <c r="B52" s="8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</row>
    <row r="53" spans="2:44" s="9" customFormat="1" x14ac:dyDescent="0.45">
      <c r="B53" s="8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</row>
    <row r="54" spans="2:44" s="9" customFormat="1" x14ac:dyDescent="0.45">
      <c r="B54" s="8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</row>
    <row r="55" spans="2:44" s="9" customFormat="1" x14ac:dyDescent="0.45">
      <c r="B55" s="8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</row>
    <row r="56" spans="2:44" s="9" customFormat="1" x14ac:dyDescent="0.45">
      <c r="B56" s="8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</row>
    <row r="57" spans="2:44" s="9" customFormat="1" x14ac:dyDescent="0.45">
      <c r="B57" s="8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</row>
    <row r="58" spans="2:44" s="9" customFormat="1" x14ac:dyDescent="0.45">
      <c r="B58" s="8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</row>
    <row r="59" spans="2:44" s="9" customFormat="1" x14ac:dyDescent="0.45">
      <c r="B59" s="8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</row>
    <row r="60" spans="2:44" s="9" customFormat="1" x14ac:dyDescent="0.45">
      <c r="B60" s="8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</row>
    <row r="61" spans="2:44" s="9" customFormat="1" x14ac:dyDescent="0.45">
      <c r="B61" s="8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</row>
    <row r="62" spans="2:44" s="9" customFormat="1" x14ac:dyDescent="0.45">
      <c r="B62" s="8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</row>
    <row r="63" spans="2:44" s="9" customFormat="1" x14ac:dyDescent="0.45">
      <c r="B63" s="8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</row>
  </sheetData>
  <mergeCells count="29">
    <mergeCell ref="R27:T27"/>
    <mergeCell ref="U27:W27"/>
    <mergeCell ref="AM27:AO27"/>
    <mergeCell ref="X27:Z27"/>
    <mergeCell ref="AA27:AC27"/>
    <mergeCell ref="AD27:AF27"/>
    <mergeCell ref="AG27:AI27"/>
    <mergeCell ref="AJ27:AL27"/>
    <mergeCell ref="L2:N2"/>
    <mergeCell ref="I2:K2"/>
    <mergeCell ref="I27:K27"/>
    <mergeCell ref="L27:N27"/>
    <mergeCell ref="O27:Q27"/>
    <mergeCell ref="B2:B3"/>
    <mergeCell ref="AP2:AR2"/>
    <mergeCell ref="AP27:AR27"/>
    <mergeCell ref="C2:E2"/>
    <mergeCell ref="C27:E27"/>
    <mergeCell ref="F27:H27"/>
    <mergeCell ref="AJ2:AL2"/>
    <mergeCell ref="AM2:AO2"/>
    <mergeCell ref="AG2:AI2"/>
    <mergeCell ref="AD2:AF2"/>
    <mergeCell ref="AA2:AC2"/>
    <mergeCell ref="X2:Z2"/>
    <mergeCell ref="O2:Q2"/>
    <mergeCell ref="F2:H2"/>
    <mergeCell ref="U2:W2"/>
    <mergeCell ref="R2:T2"/>
  </mergeCells>
  <printOptions horizontalCentered="1"/>
  <pageMargins left="0.23622047244094491" right="0.23622047244094491" top="0.74803149606299213" bottom="0.74803149606299213" header="0.31496062992125984" footer="0.31496062992125984"/>
  <pageSetup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Calificacion</vt:lpstr>
      <vt:lpstr>Detalle</vt:lpstr>
      <vt:lpstr>Detalle!Print_Area</vt:lpstr>
      <vt:lpstr>Detalle!Print_Titles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WILLIAM RICARDO AGUILAR PIÑA</cp:lastModifiedBy>
  <cp:lastPrinted>2024-08-11T15:29:49Z</cp:lastPrinted>
  <dcterms:created xsi:type="dcterms:W3CDTF">2018-11-28T14:19:17Z</dcterms:created>
  <dcterms:modified xsi:type="dcterms:W3CDTF">2025-08-04T22:18:17Z</dcterms:modified>
</cp:coreProperties>
</file>