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2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.HCMC\activity\M01A17\temp\"/>
    </mc:Choice>
  </mc:AlternateContent>
  <xr:revisionPtr revIDLastSave="0" documentId="13_ncr:1_{B42F5D1D-C4B5-4086-97CA-059C50AB735A}" xr6:coauthVersionLast="47" xr6:coauthVersionMax="47" xr10:uidLastSave="{00000000-0000-0000-0000-000000000000}"/>
  <bookViews>
    <workbookView xWindow="-98" yWindow="-98" windowWidth="28996" windowHeight="15675" xr2:uid="{D2691C92-2A4D-4B5A-A926-1524D663FC69}"/>
  </bookViews>
  <sheets>
    <sheet name="Sin ContraEscalon" sheetId="3" r:id="rId1"/>
    <sheet name="Con ContraEscalon" sheetId="1" r:id="rId2"/>
    <sheet name="Metadata" sheetId="4" r:id="rId3"/>
  </sheets>
  <definedNames>
    <definedName name="hc" localSheetId="1">'Con ContraEscalon'!$D$6</definedName>
    <definedName name="hc" localSheetId="0">'Sin ContraEscalon'!$D$6</definedName>
    <definedName name="lj" localSheetId="1">'Con ContraEscalon'!#REF!</definedName>
    <definedName name="lj" localSheetId="0">'Sin ContraEscalon'!#REF!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H27" i="1"/>
  <c r="A76" i="1"/>
  <c r="A68" i="1"/>
  <c r="A60" i="1"/>
  <c r="A52" i="1"/>
  <c r="A44" i="1"/>
  <c r="A36" i="1"/>
  <c r="A28" i="1"/>
  <c r="A20" i="1"/>
  <c r="A12" i="1"/>
  <c r="A68" i="3"/>
  <c r="A60" i="3"/>
  <c r="A52" i="3"/>
  <c r="A44" i="3"/>
  <c r="A36" i="3"/>
  <c r="A28" i="3"/>
  <c r="A20" i="3"/>
  <c r="A12" i="3"/>
  <c r="C74" i="1"/>
  <c r="E74" i="1"/>
  <c r="E75" i="1" s="1"/>
  <c r="E76" i="1" s="1"/>
  <c r="E77" i="1" s="1"/>
  <c r="E78" i="1" s="1"/>
  <c r="E79" i="1" s="1"/>
  <c r="C66" i="3"/>
  <c r="E67" i="3"/>
  <c r="E68" i="3" s="1"/>
  <c r="E69" i="3" s="1"/>
  <c r="E70" i="3" s="1"/>
  <c r="E71" i="3" s="1"/>
  <c r="E66" i="3"/>
  <c r="A66" i="1"/>
  <c r="A58" i="1"/>
  <c r="A50" i="1"/>
  <c r="A42" i="1"/>
  <c r="A34" i="1"/>
  <c r="A26" i="1"/>
  <c r="A18" i="1"/>
  <c r="A58" i="3"/>
  <c r="A50" i="3"/>
  <c r="A42" i="3"/>
  <c r="A34" i="3"/>
  <c r="A26" i="3"/>
  <c r="A18" i="3"/>
  <c r="C66" i="1"/>
  <c r="C58" i="1"/>
  <c r="C50" i="1"/>
  <c r="H26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C42" i="1"/>
  <c r="C34" i="1"/>
  <c r="C26" i="1"/>
  <c r="C18" i="1"/>
  <c r="C10" i="1"/>
  <c r="M2" i="1"/>
  <c r="M3" i="1"/>
  <c r="M4" i="1"/>
  <c r="M5" i="1"/>
  <c r="M6" i="1"/>
  <c r="M7" i="1"/>
  <c r="M8" i="1"/>
  <c r="M9" i="1"/>
  <c r="C58" i="3"/>
  <c r="C50" i="3"/>
  <c r="C42" i="3"/>
  <c r="C34" i="3"/>
  <c r="C26" i="3"/>
  <c r="C18" i="3"/>
  <c r="C10" i="3"/>
  <c r="M2" i="3"/>
  <c r="M3" i="3"/>
  <c r="M4" i="3"/>
  <c r="M5" i="3"/>
  <c r="M6" i="3"/>
  <c r="M7" i="3"/>
  <c r="M8" i="3"/>
  <c r="H25" i="3"/>
  <c r="H24" i="3"/>
  <c r="H23" i="3"/>
  <c r="H22" i="3"/>
  <c r="H21" i="3"/>
  <c r="H20" i="3"/>
  <c r="H19" i="3"/>
  <c r="L3" i="1"/>
  <c r="L7" i="1"/>
  <c r="F10" i="1"/>
  <c r="B10" i="1"/>
  <c r="A9" i="1"/>
  <c r="E10" i="1"/>
  <c r="E11" i="1" s="1"/>
  <c r="E12" i="1" s="1"/>
  <c r="E13" i="1" s="1"/>
  <c r="E14" i="1" s="1"/>
  <c r="E15" i="1" s="1"/>
  <c r="L2" i="1"/>
  <c r="L4" i="1"/>
  <c r="L5" i="1"/>
  <c r="L6" i="1"/>
  <c r="L8" i="1"/>
  <c r="L9" i="1"/>
  <c r="F74" i="1" l="1"/>
  <c r="F75" i="1"/>
  <c r="F76" i="1" s="1"/>
  <c r="F77" i="1" s="1"/>
  <c r="F78" i="1" s="1"/>
  <c r="F79" i="1" s="1"/>
  <c r="F66" i="3"/>
  <c r="F67" i="3"/>
  <c r="F68" i="3" s="1"/>
  <c r="F69" i="3" s="1"/>
  <c r="F70" i="3" s="1"/>
  <c r="F71" i="3" s="1"/>
  <c r="I26" i="1"/>
  <c r="I25" i="1"/>
  <c r="F11" i="1"/>
  <c r="F12" i="1" s="1"/>
  <c r="F13" i="1" s="1"/>
  <c r="F14" i="1" s="1"/>
  <c r="F15" i="1" s="1"/>
  <c r="E58" i="3" l="1"/>
  <c r="E59" i="3" s="1"/>
  <c r="E60" i="3" s="1"/>
  <c r="E61" i="3" s="1"/>
  <c r="E62" i="3" s="1"/>
  <c r="E63" i="3" s="1"/>
  <c r="B58" i="3"/>
  <c r="A57" i="3"/>
  <c r="E50" i="3"/>
  <c r="E51" i="3" s="1"/>
  <c r="E52" i="3" s="1"/>
  <c r="E53" i="3" s="1"/>
  <c r="E54" i="3" s="1"/>
  <c r="E55" i="3" s="1"/>
  <c r="B50" i="3"/>
  <c r="A49" i="3"/>
  <c r="E42" i="3"/>
  <c r="E43" i="3" s="1"/>
  <c r="E44" i="3" s="1"/>
  <c r="E45" i="3" s="1"/>
  <c r="E46" i="3" s="1"/>
  <c r="E47" i="3" s="1"/>
  <c r="B42" i="3"/>
  <c r="A41" i="3"/>
  <c r="E35" i="3"/>
  <c r="E36" i="3" s="1"/>
  <c r="E37" i="3" s="1"/>
  <c r="E38" i="3" s="1"/>
  <c r="E39" i="3" s="1"/>
  <c r="E34" i="3"/>
  <c r="B34" i="3"/>
  <c r="A33" i="3"/>
  <c r="E26" i="3"/>
  <c r="E27" i="3" s="1"/>
  <c r="E28" i="3" s="1"/>
  <c r="E29" i="3" s="1"/>
  <c r="E30" i="3" s="1"/>
  <c r="E31" i="3" s="1"/>
  <c r="A25" i="3"/>
  <c r="E18" i="3"/>
  <c r="E19" i="3" s="1"/>
  <c r="E20" i="3" s="1"/>
  <c r="E21" i="3" s="1"/>
  <c r="E22" i="3" s="1"/>
  <c r="E23" i="3" s="1"/>
  <c r="A17" i="3"/>
  <c r="E10" i="3"/>
  <c r="E11" i="3" s="1"/>
  <c r="E12" i="3" s="1"/>
  <c r="E13" i="3" s="1"/>
  <c r="E14" i="3" s="1"/>
  <c r="E15" i="3" s="1"/>
  <c r="A9" i="3"/>
  <c r="I19" i="3"/>
  <c r="L8" i="3"/>
  <c r="B10" i="3" s="1"/>
  <c r="L7" i="3"/>
  <c r="B18" i="3" s="1"/>
  <c r="L6" i="3"/>
  <c r="B26" i="3" s="1"/>
  <c r="L5" i="3"/>
  <c r="L4" i="3"/>
  <c r="L3" i="3"/>
  <c r="L2" i="3"/>
  <c r="A65" i="1"/>
  <c r="E66" i="1"/>
  <c r="E67" i="1" s="1"/>
  <c r="E68" i="1" s="1"/>
  <c r="E69" i="1" s="1"/>
  <c r="E70" i="1" s="1"/>
  <c r="E71" i="1" s="1"/>
  <c r="A57" i="1"/>
  <c r="E58" i="1"/>
  <c r="E59" i="1" s="1"/>
  <c r="E60" i="1" s="1"/>
  <c r="E61" i="1" s="1"/>
  <c r="E62" i="1" s="1"/>
  <c r="E63" i="1" s="1"/>
  <c r="B50" i="1"/>
  <c r="A49" i="1"/>
  <c r="E50" i="1"/>
  <c r="E51" i="1" s="1"/>
  <c r="E52" i="1" s="1"/>
  <c r="E53" i="1" s="1"/>
  <c r="E54" i="1" s="1"/>
  <c r="E55" i="1" s="1"/>
  <c r="A41" i="1"/>
  <c r="E42" i="1"/>
  <c r="E43" i="1" s="1"/>
  <c r="E44" i="1" s="1"/>
  <c r="E45" i="1" s="1"/>
  <c r="E46" i="1" s="1"/>
  <c r="E47" i="1" s="1"/>
  <c r="B34" i="1"/>
  <c r="A33" i="1"/>
  <c r="A25" i="1"/>
  <c r="E34" i="1"/>
  <c r="E35" i="1" s="1"/>
  <c r="E36" i="1" s="1"/>
  <c r="E37" i="1" s="1"/>
  <c r="E38" i="1" s="1"/>
  <c r="E39" i="1" s="1"/>
  <c r="E26" i="1"/>
  <c r="E27" i="1" s="1"/>
  <c r="E28" i="1" s="1"/>
  <c r="E29" i="1" s="1"/>
  <c r="E30" i="1" s="1"/>
  <c r="E31" i="1" s="1"/>
  <c r="E18" i="1"/>
  <c r="A17" i="1"/>
  <c r="B66" i="1"/>
  <c r="B58" i="1"/>
  <c r="B42" i="1"/>
  <c r="B26" i="1"/>
  <c r="B18" i="1"/>
  <c r="F26" i="1" l="1"/>
  <c r="F35" i="1"/>
  <c r="F36" i="1" s="1"/>
  <c r="F37" i="1" s="1"/>
  <c r="F38" i="1" s="1"/>
  <c r="F39" i="1" s="1"/>
  <c r="F27" i="1"/>
  <c r="F28" i="1" s="1"/>
  <c r="F29" i="1" s="1"/>
  <c r="F30" i="1" s="1"/>
  <c r="F31" i="1" s="1"/>
  <c r="F11" i="3"/>
  <c r="F12" i="3" s="1"/>
  <c r="F13" i="3" s="1"/>
  <c r="F14" i="3" s="1"/>
  <c r="F15" i="3" s="1"/>
  <c r="F10" i="3"/>
  <c r="I20" i="3"/>
  <c r="F19" i="1"/>
  <c r="F20" i="1" s="1"/>
  <c r="F18" i="1"/>
  <c r="F34" i="1" l="1"/>
  <c r="F19" i="3"/>
  <c r="F20" i="3" s="1"/>
  <c r="F21" i="3" s="1"/>
  <c r="F22" i="3" s="1"/>
  <c r="F23" i="3" s="1"/>
  <c r="F18" i="3"/>
  <c r="I21" i="3"/>
  <c r="F43" i="1" l="1"/>
  <c r="F44" i="1" s="1"/>
  <c r="F45" i="1" s="1"/>
  <c r="F46" i="1" s="1"/>
  <c r="F47" i="1" s="1"/>
  <c r="F42" i="1"/>
  <c r="F26" i="3"/>
  <c r="I22" i="3"/>
  <c r="F27" i="3"/>
  <c r="F28" i="3" s="1"/>
  <c r="F29" i="3" s="1"/>
  <c r="F30" i="3" s="1"/>
  <c r="F31" i="3" s="1"/>
  <c r="F51" i="1" l="1"/>
  <c r="F52" i="1" s="1"/>
  <c r="F53" i="1" s="1"/>
  <c r="F54" i="1" s="1"/>
  <c r="F55" i="1" s="1"/>
  <c r="F50" i="1"/>
  <c r="I23" i="3"/>
  <c r="F35" i="3"/>
  <c r="F36" i="3" s="1"/>
  <c r="F37" i="3" s="1"/>
  <c r="F38" i="3" s="1"/>
  <c r="F39" i="3" s="1"/>
  <c r="F34" i="3"/>
  <c r="F58" i="1" l="1"/>
  <c r="F59" i="1"/>
  <c r="F60" i="1" s="1"/>
  <c r="F61" i="1" s="1"/>
  <c r="F62" i="1" s="1"/>
  <c r="F63" i="1" s="1"/>
  <c r="F43" i="3"/>
  <c r="F44" i="3" s="1"/>
  <c r="F45" i="3" s="1"/>
  <c r="F46" i="3" s="1"/>
  <c r="F47" i="3" s="1"/>
  <c r="I24" i="3"/>
  <c r="F42" i="3"/>
  <c r="F66" i="1" l="1"/>
  <c r="F67" i="1"/>
  <c r="F68" i="1" s="1"/>
  <c r="F69" i="1" s="1"/>
  <c r="F70" i="1" s="1"/>
  <c r="F71" i="1" s="1"/>
  <c r="F51" i="3"/>
  <c r="F52" i="3" s="1"/>
  <c r="F53" i="3" s="1"/>
  <c r="F54" i="3" s="1"/>
  <c r="F55" i="3" s="1"/>
  <c r="F50" i="3"/>
  <c r="I25" i="3"/>
  <c r="F59" i="3" l="1"/>
  <c r="F60" i="3" s="1"/>
  <c r="F61" i="3" s="1"/>
  <c r="F62" i="3" s="1"/>
  <c r="F63" i="3" s="1"/>
  <c r="F58" i="3"/>
  <c r="E19" i="1" l="1"/>
  <c r="E20" i="1" s="1"/>
  <c r="E21" i="1" s="1"/>
  <c r="E22" i="1" s="1"/>
  <c r="E23" i="1" s="1"/>
  <c r="F21" i="1" l="1"/>
  <c r="F22" i="1" s="1"/>
  <c r="F23" i="1" s="1"/>
</calcChain>
</file>

<file path=xl/sharedStrings.xml><?xml version="1.0" encoding="utf-8"?>
<sst xmlns="http://schemas.openxmlformats.org/spreadsheetml/2006/main" count="126" uniqueCount="31">
  <si>
    <t>Seccion</t>
  </si>
  <si>
    <t>x</t>
  </si>
  <si>
    <t>y</t>
  </si>
  <si>
    <t>z</t>
  </si>
  <si>
    <t>s</t>
  </si>
  <si>
    <t>Abs</t>
  </si>
  <si>
    <t>S</t>
  </si>
  <si>
    <t>E</t>
  </si>
  <si>
    <t>Factor Coal.</t>
  </si>
  <si>
    <t>Seccion 1</t>
  </si>
  <si>
    <t>Elev</t>
  </si>
  <si>
    <t>Parámetro</t>
  </si>
  <si>
    <t>Abscisa, m</t>
  </si>
  <si>
    <t>z fondo, m</t>
  </si>
  <si>
    <t>Elev, m</t>
  </si>
  <si>
    <t>Final</t>
  </si>
  <si>
    <t>Vert</t>
  </si>
  <si>
    <t>Y2</t>
  </si>
  <si>
    <t>Y1</t>
  </si>
  <si>
    <t>Yo</t>
  </si>
  <si>
    <t>Inicio</t>
  </si>
  <si>
    <t>Abscisa</t>
  </si>
  <si>
    <t>Seccion 2</t>
  </si>
  <si>
    <t>Seccion 7</t>
  </si>
  <si>
    <t>Seccion 6</t>
  </si>
  <si>
    <t>Seccion 5</t>
  </si>
  <si>
    <t>Seccion 4</t>
  </si>
  <si>
    <t>Seccion 3</t>
  </si>
  <si>
    <t>Seccion 8</t>
  </si>
  <si>
    <t>Seccion 0</t>
  </si>
  <si>
    <t>Creado por Grupo 2  Edición 2025-2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</si>
</sst>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/>
    </xf>
    <xf numFmtId="0" fontId="3" fillId="0" borderId="0" xfId="1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0" xfId="0" applyNumberFormat="1" applyFill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22D785FE-1149-4FC5-9D07-5DF759E527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 ContraEscalon'!$H$19:$H$25</c:f>
              <c:numCache>
                <c:formatCode>0.000</c:formatCode>
                <c:ptCount val="7"/>
                <c:pt idx="0">
                  <c:v>0</c:v>
                </c:pt>
                <c:pt idx="1">
                  <c:v>2.7865708165990766</c:v>
                </c:pt>
                <c:pt idx="2">
                  <c:v>2.7965708165990764</c:v>
                </c:pt>
                <c:pt idx="3">
                  <c:v>5.8949191323501564</c:v>
                </c:pt>
                <c:pt idx="4">
                  <c:v>8.4028328672893249</c:v>
                </c:pt>
                <c:pt idx="5">
                  <c:v>8.681489948949233</c:v>
                </c:pt>
                <c:pt idx="6">
                  <c:v>8.9601470306091411</c:v>
                </c:pt>
              </c:numCache>
            </c:numRef>
          </c:xVal>
          <c:yVal>
            <c:numRef>
              <c:f>'Sin ContraEscalon'!$I$19:$I$25</c:f>
              <c:numCache>
                <c:formatCode>0.000</c:formatCode>
                <c:ptCount val="7"/>
                <c:pt idx="0">
                  <c:v>70</c:v>
                </c:pt>
                <c:pt idx="1">
                  <c:v>69.995293481890769</c:v>
                </c:pt>
                <c:pt idx="2">
                  <c:v>69.755530476890769</c:v>
                </c:pt>
                <c:pt idx="3">
                  <c:v>69.752913921738113</c:v>
                </c:pt>
                <c:pt idx="4">
                  <c:v>69.750795988588962</c:v>
                </c:pt>
                <c:pt idx="5">
                  <c:v>69.750560662683498</c:v>
                </c:pt>
                <c:pt idx="6">
                  <c:v>69.750090010872569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BC-4B60-9CAB-B35762A7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588600"/>
        <c:axId val="823588960"/>
      </c:scatterChart>
      <c:valAx>
        <c:axId val="82358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3588960"/>
        <c:crosses val="autoZero"/>
        <c:crossBetween val="midCat"/>
      </c:valAx>
      <c:valAx>
        <c:axId val="82358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3588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 ContraEscalon'!$H$19:$H$26</c:f>
              <c:numCache>
                <c:formatCode>0.000</c:formatCode>
                <c:ptCount val="8"/>
                <c:pt idx="0">
                  <c:v>0</c:v>
                </c:pt>
                <c:pt idx="1">
                  <c:v>3.4321279726903251</c:v>
                </c:pt>
                <c:pt idx="2">
                  <c:v>3.4421279726903249</c:v>
                </c:pt>
                <c:pt idx="3">
                  <c:v>6.5404762884414049</c:v>
                </c:pt>
                <c:pt idx="4">
                  <c:v>9.1523412605075354</c:v>
                </c:pt>
                <c:pt idx="5">
                  <c:v>10.296383918070976</c:v>
                </c:pt>
                <c:pt idx="6">
                  <c:v>10.306383918070976</c:v>
                </c:pt>
                <c:pt idx="7">
                  <c:v>10.868405246852697</c:v>
                </c:pt>
              </c:numCache>
            </c:numRef>
          </c:xVal>
          <c:yVal>
            <c:numRef>
              <c:f>'Con ContraEscalon'!$I$19:$I$26</c:f>
              <c:numCache>
                <c:formatCode>0.000</c:formatCode>
                <c:ptCount val="8"/>
                <c:pt idx="0">
                  <c:v>70</c:v>
                </c:pt>
                <c:pt idx="1">
                  <c:v>69.994203135854121</c:v>
                </c:pt>
                <c:pt idx="2">
                  <c:v>69.754440130854121</c:v>
                </c:pt>
                <c:pt idx="3">
                  <c:v>69.751823575701465</c:v>
                </c:pt>
                <c:pt idx="4">
                  <c:v>69.749617855732552</c:v>
                </c:pt>
                <c:pt idx="5">
                  <c:v>69.748651711708234</c:v>
                </c:pt>
                <c:pt idx="6">
                  <c:v>69.81574546227516</c:v>
                </c:pt>
                <c:pt idx="7">
                  <c:v>69.814787763250848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83-4EEA-BE80-4E572B43C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06992"/>
        <c:axId val="822708792"/>
      </c:scatterChart>
      <c:valAx>
        <c:axId val="82270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2708792"/>
        <c:crosses val="autoZero"/>
        <c:crossBetween val="midCat"/>
      </c:valAx>
      <c:valAx>
        <c:axId val="822708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2270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chart" Target="../charts/chart2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257175</xdr:colOff>
      <xdr:row>0</xdr:row>
      <xdr:rowOff>8282</xdr:rowOff>
    </xdr:from>
    <xdr:to>
      <xdr:col>23</xdr:col>
      <xdr:colOff>67712</xdr:colOff>
      <xdr:row>30</xdr:row>
      <xdr:rowOff>23269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26F46944-AD1C-4014-A32D-B0A6AF5D6942}"/>
            </a:ext>
          </a:extLst>
        </xdr:cNvPr>
        <xdr:cNvGrpSpPr/>
      </xdr:nvGrpSpPr>
      <xdr:grpSpPr>
        <a:xfrm>
          <a:off x="10215563" y="8282"/>
          <a:ext cx="7430537" cy="5444237"/>
          <a:chOff x="7653545" y="0"/>
          <a:chExt cx="7430537" cy="6491987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20C6990B-7270-3A79-5BD9-ECE6638A63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653545" y="0"/>
            <a:ext cx="7430537" cy="6491987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Entrada de lápiz 3">
                <a:extLst>
                  <a:ext uri="{FF2B5EF4-FFF2-40B4-BE49-F238E27FC236}">
                    <a16:creationId xmlns:a16="http://schemas.microsoft.com/office/drawing/2014/main" id="{AE553615-538B-5693-EC1A-9E1CDABC9EEA}"/>
                  </a:ext>
                </a:extLst>
              </xdr14:cNvPr>
              <xdr14:cNvContentPartPr/>
            </xdr14:nvContentPartPr>
            <xdr14:nvPr macro=""/>
            <xdr14:xfrm>
              <a:off x="8613720" y="892800"/>
              <a:ext cx="2397240" cy="1277280"/>
            </xdr14:xfrm>
          </xdr14:contentPart>
        </mc:Choice>
        <mc:Fallback xmlns="">
          <xdr:pic>
            <xdr:nvPicPr>
              <xdr:cNvPr id="4" name="Entrada de lápiz 3">
                <a:extLst>
                  <a:ext uri="{FF2B5EF4-FFF2-40B4-BE49-F238E27FC236}">
                    <a16:creationId xmlns:a16="http://schemas.microsoft.com/office/drawing/2014/main" id="{AE553615-538B-5693-EC1A-9E1CDABC9EEA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8604720" y="883012"/>
                <a:ext cx="2414880" cy="1297263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23</xdr:col>
      <xdr:colOff>73038</xdr:colOff>
      <xdr:row>0</xdr:row>
      <xdr:rowOff>0</xdr:rowOff>
    </xdr:from>
    <xdr:to>
      <xdr:col>36</xdr:col>
      <xdr:colOff>493292</xdr:colOff>
      <xdr:row>31</xdr:row>
      <xdr:rowOff>51954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3D3385-9200-427C-861E-7FDD7F8BE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99038" y="0"/>
          <a:ext cx="10326254" cy="5957454"/>
        </a:xfrm>
        <a:prstGeom prst="rect">
          <a:avLst/>
        </a:prstGeom>
      </xdr:spPr>
    </xdr:pic>
    <xdr:clientData/>
  </xdr:twoCellAnchor>
  <xdr:twoCellAnchor>
    <xdr:from>
      <xdr:col>6</xdr:col>
      <xdr:colOff>617660</xdr:colOff>
      <xdr:row>26</xdr:row>
      <xdr:rowOff>161193</xdr:rowOff>
    </xdr:from>
    <xdr:to>
      <xdr:col>12</xdr:col>
      <xdr:colOff>617660</xdr:colOff>
      <xdr:row>41</xdr:row>
      <xdr:rowOff>46893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A215B35-46CA-85FB-6C75-FCDA1DC68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13607</xdr:rowOff>
    </xdr:from>
    <xdr:to>
      <xdr:col>36</xdr:col>
      <xdr:colOff>751828</xdr:colOff>
      <xdr:row>30</xdr:row>
      <xdr:rowOff>7738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91B2DCA8-95C2-5985-D53D-D53D5C0D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0" y="13607"/>
          <a:ext cx="9895828" cy="5709131"/>
        </a:xfrm>
        <a:prstGeom prst="rect">
          <a:avLst/>
        </a:prstGeom>
      </xdr:spPr>
    </xdr:pic>
    <xdr:clientData/>
  </xdr:twoCellAnchor>
  <xdr:twoCellAnchor>
    <xdr:from>
      <xdr:col>13</xdr:col>
      <xdr:colOff>485775</xdr:colOff>
      <xdr:row>0</xdr:row>
      <xdr:rowOff>0</xdr:rowOff>
    </xdr:from>
    <xdr:to>
      <xdr:col>23</xdr:col>
      <xdr:colOff>115312</xdr:colOff>
      <xdr:row>33</xdr:row>
      <xdr:rowOff>153299</xdr:rowOff>
    </xdr:to>
    <xdr:grpSp>
      <xdr:nvGrpSpPr>
        <xdr:cNvPr id="64" name="Grupo 63">
          <a:extLst>
            <a:ext uri="{FF2B5EF4-FFF2-40B4-BE49-F238E27FC236}">
              <a16:creationId xmlns:a16="http://schemas.microsoft.com/office/drawing/2014/main" id="{0608CF41-47E4-E38E-6589-0F5F63973AD8}"/>
            </a:ext>
          </a:extLst>
        </xdr:cNvPr>
        <xdr:cNvGrpSpPr/>
      </xdr:nvGrpSpPr>
      <xdr:grpSpPr>
        <a:xfrm>
          <a:off x="10446204" y="0"/>
          <a:ext cx="7249537" cy="6215282"/>
          <a:chOff x="10391775" y="0"/>
          <a:chExt cx="7249537" cy="6439799"/>
        </a:xfrm>
      </xdr:grpSpPr>
      <xdr:pic>
        <xdr:nvPicPr>
          <xdr:cNvPr id="63" name="Imagen 62">
            <a:extLst>
              <a:ext uri="{FF2B5EF4-FFF2-40B4-BE49-F238E27FC236}">
                <a16:creationId xmlns:a16="http://schemas.microsoft.com/office/drawing/2014/main" id="{F6364D9D-51E5-5106-2DC8-3EE7CC6906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391775" y="0"/>
            <a:ext cx="7249537" cy="6439799"/>
          </a:xfrm>
          <a:prstGeom prst="rect">
            <a:avLst/>
          </a:prstGeom>
        </xdr:spPr>
      </xdr:pic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3">
            <xdr14:nvContentPartPr>
              <xdr14:cNvPr id="62" name="Entrada de lápiz 61">
                <a:extLst>
                  <a:ext uri="{FF2B5EF4-FFF2-40B4-BE49-F238E27FC236}">
                    <a16:creationId xmlns:a16="http://schemas.microsoft.com/office/drawing/2014/main" id="{E4502512-63A1-447E-B33A-23DF727E2303}"/>
                  </a:ext>
                </a:extLst>
              </xdr14:cNvPr>
              <xdr14:cNvContentPartPr/>
            </xdr14:nvContentPartPr>
            <xdr14:nvPr macro=""/>
            <xdr14:xfrm>
              <a:off x="11763375" y="895350"/>
              <a:ext cx="2397240" cy="1277280"/>
            </xdr14:xfrm>
          </xdr14:contentPart>
        </mc:Choice>
        <mc:Fallback xmlns="">
          <xdr:pic>
            <xdr:nvPicPr>
              <xdr:cNvPr id="62" name="Entrada de lápiz 61">
                <a:extLst>
                  <a:ext uri="{FF2B5EF4-FFF2-40B4-BE49-F238E27FC236}">
                    <a16:creationId xmlns:a16="http://schemas.microsoft.com/office/drawing/2014/main" id="{E4502512-63A1-447E-B33A-23DF727E2303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11754375" y="886710"/>
                <a:ext cx="2414880" cy="1294920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>
    <xdr:from>
      <xdr:col>8</xdr:col>
      <xdr:colOff>76200</xdr:colOff>
      <xdr:row>29</xdr:row>
      <xdr:rowOff>85725</xdr:rowOff>
    </xdr:from>
    <xdr:to>
      <xdr:col>14</xdr:col>
      <xdr:colOff>76200</xdr:colOff>
      <xdr:row>43</xdr:row>
      <xdr:rowOff>161925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CE2DFCBA-CF3B-97B2-CF6A-20E5B2C5E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11:38:48.3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2875 2402 24575,'-1'5'0,"0"-1"0,0 0 0,0 0 0,0 1 0,-1-1 0,1 0 0,-1 0 0,-1 0 0,1 0 0,-5 5 0,-37 40 0,20-24 0,16-17 0,-1 0 0,0-2 0,0 1 0,0 0 0,-15 6 0,-24 18 0,42-26 0,2-2 0,-1 1 0,0-1 0,1 2 0,0-1 0,0 1 0,-4 4 0,8-8 0,-1 1 0,1-1 0,-1 0 0,1 0 0,0 1 0,-1-1 0,1 0 0,0 0 0,0 1 0,0-1 0,0-1 0,0 2 0,0-1 0,1 0 0,-1 0 0,0 1 0,1-1 0,-1 0 0,1 0 0,0 0 0,-1 0 0,1 1 0,0-1 0,0 0 0,-1 0 0,1 0 0,0 0 0,0-1 0,1 0 0,-1 1 0,0 0 0,0 0 0,2 0 0,5 4 5,0-1 0,0 0 0,1-1 0,-1 0 0,1 0-1,0 0 1,0-1 0,1 0 0,-1 0 0,13 0 0,12-1-162,53-2 0,-33-1-948,-31 2-5721</inkml:trace>
  <inkml:trace contextRef="#ctx0" brushRef="#br0" timeOffset="1">2875 2468 24575,'0'423'-1365,"0"-404"-5461</inkml:trace>
  <inkml:trace contextRef="#ctx0" brushRef="#br0" timeOffset="2">3166 2558 24575,'56'-18'0,"-24"15"0,0 0 0,49 3 0,-87 0 0,1 0 0,0 0 0,0 1 0,0-1 0,0 1 0,-1 0 0,1 1 0,1-1 0,-1 1 0,0-1 0,0 0 0,1 2 0,-1-1 0,1 1 0,0-1 0,0 1 0,0 0 0,0 0 0,0 0 0,1 0 0,0 1 0,-1-1 0,2 1 0,-1-1 0,0 1 0,1 0 0,0 0 0,0 1 0,0-2 0,1 1 0,0 1 0,-2 5 0,3-5 0,-1 0 0,1 1 0,0-2 0,0 1 0,1 0 0,-1 1 0,1-2 0,1 1 0,-1 0 0,1 0 0,3 6 0,-3-9 0,0 1 0,1-1 0,-1 0 0,0-1 0,1 1 0,-1 0 0,1 0 0,0 0 0,0-1 0,0 1 0,0-1 0,0 0 0,0 0 0,0 0 0,0 0 0,0 0 0,1 0 0,-1-1 0,0 0 0,1 0 0,4 0 0,1 0 0,0 1 0,0 0 0,0 0 0,-1 1 0,1 0 0,-1 0 0,1 0 0,13 6 0,-19-6 0,1 0 0,-1 1 0,0-1 0,0 0 0,0 1 0,0 0 0,0-1 0,-1 0 0,0 2 0,1-1 0,-1 0 0,0 0 0,-1 0 0,1 0 0,-1 0 0,1 1 0,-1-1 0,0 1 0,-1-1 0,1 6 0,0-2 0,1 5 0,-1 0 0,-1 1 0,0-1 0,-3 17 0,3-28 0,-1 2 0,1-1 0,-1 1 0,0-1 0,0 1 0,0-1 0,0 1 0,0-2 0,-1 1 0,1 1 0,-1-1 0,1 0 0,-1 0 0,0 0 0,0 0 0,0 0 0,-1-1 0,1 1 0,0-1 0,-1 0 0,1 0 0,-1 1 0,0-1 0,1 0 0,-1 0 0,0 0 0,-5 0 0,-9 2 0,0-1 0,0-1 0,-1 0 0,1-1 0,-1-1 0,1 0 0,0-1 0,-26-7 0,27 1-1365,5-2-5461</inkml:trace>
  <inkml:trace contextRef="#ctx0" brushRef="#br0" timeOffset="3">3643 2757 24575,'1'0'0,"0"0"0,0 1 0,0-1 0,0 1 0,0-1 0,0 1 0,0 0 0,0-1 0,0 1 0,0 0 0,0 0 0,0-1 0,0 1 0,0 0 0,-1 0 0,1 0 0,0 0 0,-1 0 0,1 0 0,-1 0 0,1 0 0,-1-1 0,0 1 0,0 0 0,1 0 0,-1 0 0,0 2 0,5 34 0,-5-33 0,1 15 0,-2-12 0,1-2 0,1 2 0,-1-1 0,1 0 0,0 0 0,1 0 0,0 0 0,0 0 0,6 11 0,-8-17 0,1-1 0,-1 1 0,1 0 0,-1 0 0,1 0 0,-1-1 0,0 1 0,1 0 0,-1-1 0,0 1 0,1 0 0,-1 0 0,0-1 0,0 1 0,1-1 0,-1 1 0,0 0 0,0-1 0,1 1 0,-1 0 0,0 0 0,0 0 0,0-1 0,0 1 0,0-1 0,0 1 0,0-1 0,0 1 0,0 0 0,0-1 0,0 1 0,0-1 0,-1 0 0,6-22 0,-5 20 0,1-3 0,1-1 0,0 0 0,0 1 0,0-1 0,1 0 0,1 1 0,-1 0 0,1-1 0,0 2 0,10-12 0,-13 16 0,1 0 0,-1 0 0,1-1 0,0 1 0,0 0 0,0 0 0,0 0 0,0 0 0,0 0 0,0 0 0,0 0 0,1 0 0,-1 1 0,0-1 0,1 1 0,3-1 0,-3 1 0,0 1 0,0-1 0,0 1 0,0-1 0,0 1 0,0 0 0,0 0 0,0 0 0,-1 1 0,1-1 0,0 0 0,-1 1 0,1 0 0,-1-1 0,0 0 0,4 4 0,-3-1 0,1 1 0,-1-1 0,0-1 0,0 2 0,0 0 0,0 0 0,-1-1 0,0 1 0,-1 0 0,1 0 0,-1-1 0,0 1 0,0 7 0,1 10 0,-5 38 0,2-41 0,2-38 0,1 0 0,10-31 0,-12 46 0,1-1 0,1 1 0,-1 1 0,1-2 0,-1 1 0,1 0 0,1 0 0,-1 1 0,1-1 0,-1 1 0,1-1 0,1 0 0,-1 2 0,0-1 0,1 0 0,0 0 0,0 0 0,0 0 0,0 1 0,0 0 0,9-3 0,-11 4-4,1 1 0,0-1 0,-1 1 0,1-1 0,0 1 0,0 0 0,0 0 0,-1 0 0,1 1 0,0-1 0,0 0 0,-1 1 0,1 0 0,0-1 0,-1 1 0,1 0 0,-1 0 0,1 1 0,3 0 0,-2 1 20,-1 0 1,0 0 0,0 0 0,0 0-1,-1 0 1,1-1 0,-1 2-1,0-1 1,0 1 0,0 0-1,1 3 1,1 7-265,-1 0 1,0-1-1,-1 1 1,0 1-1,-2 17 1,-1-13-6579</inkml:trace>
  <inkml:trace contextRef="#ctx0" brushRef="#br0" timeOffset="4">2082 2735 24575,'0'-3'0,"4"-3"0,6 1 0,6 1 0,5 2 0,3 0 0,2 1 0,1 1 0,1 0 0,0 0 0,-1 0 0,0 0 0,0 1 0,0-1 0,-5 0-8191</inkml:trace>
  <inkml:trace contextRef="#ctx0" brushRef="#br0" timeOffset="5">2029 2713 24575,'4'0'0,"2"-4"0,4-5 0,1-4 0,2-1 0,0-1 0,1 1 0,4 4 0,-2-1 0,1 3 0,-3-3 0,2-2 0,-3-3 0,-3 1-8191</inkml:trace>
  <inkml:trace contextRef="#ctx0" brushRef="#br0" timeOffset="6">2055 2668 24575,'0'10'0,"0"0"0,1 0 0,1 0 0,0 0 0,0 0 0,2 0 0,-1 0 0,1-1 0,1 0 0,0 0 0,1 1 0,0-2 0,0 1 0,1-1 0,11 11 0,-9-10-15,-1 1-1,0 0 1,-1 0-1,-1 1 1,8 16 0,-1-1-1258,-5-13-5553</inkml:trace>
  <inkml:trace contextRef="#ctx0" brushRef="#br0" timeOffset="7">4092 2735 24575,'4'0'0,"7"0"0,5 0 0,5 0 0,3 0 0,2 0 0,1 4 0,1 1 0,-1 0 0,1-1 0,-6-2-8191</inkml:trace>
  <inkml:trace contextRef="#ctx0" brushRef="#br0" timeOffset="8">4278 2623 24575,'0'7'0,"1"1"0,0-2 0,0 1 0,1 0 0,0-2 0,1 2 0,0 0 0,6 10 0,40 47 0,-6-5 0,-42-58 0,0 1-1,0-1 0,0 1 1,0 0-1,-1-1 0,1 1 1,-1 0-1,1-1 0,-1 0 1,0 1-1,0 0 0,0 0 1,0 0-1,0-1 0,0 1 1,-1 0-1,1 0 0,-1-1 1,1 0-1,-1 1 0,0-1 1,0 1-1,-1 2 0,-2 1 18,-1-1 0,0 0-1,0 1 1,0-1 0,-8 4-1,7-4-223,1 0 0,-1 0 0,1 0 0,1 0 0,-1 0 0,-3 6 0,0 3-6619</inkml:trace>
  <inkml:trace contextRef="#ctx0" brushRef="#br0" timeOffset="9">997 1692 24575,'0'52'0,"2"-18"0,-2 0 0,-2 0 0,-15 66 0,13-73 0,4-23 0,0 1 0,0-1 0,-1 0 0,0 0 0,0 0 0,0 0 0,0 0 0,-1 1 0,0-2 0,0 1 0,0 0 0,-4 4 0,6-8 0,-1 0 0,0 1 0,0-1 0,0 0 0,0 0 0,0 0 0,0 1 0,0-1 0,0 0 0,0 0 0,0 0 0,0 0 0,0 0 0,0 0 0,0-1 0,0 1 0,0 0 0,0 0 0,1-1 0,-1 1 0,0 0 0,0 0 0,0 0 0,0-1 0,0 1 0,1-1 0,-1 1 0,0-1 0,0 1 0,1-1 0,-1 0 0,1 1 0,-1-1 0,1 0 0,-1 0 0,1 1 0,-1-1 0,1 0 0,-1-1 0,-23-35 0,22 33 0,-18-25 0,14 20 0,21 24 0,-5-6 0,-1 0 0,0 0 0,1 0 0,0-2 0,1 2 0,0-3 0,12 9 0,-20-14 0,-1 0 0,1 0 0,0-1 0,0 1 0,0-1 0,0 1 0,-1 0 0,1-1 0,0 0 0,0 0 0,0 0 0,0 0 0,0 0 0,0 0 0,0-1 0,0 1 0,0-1 0,0 0 0,0 1 0,0 0 0,0-2 0,-1 1 0,1 0 0,-1 0 0,1-1 0,-1 1 0,1-1 0,-1 0 0,0 0 0,0 0 0,0 0 0,0 1 0,0-1 0,1-3 0,57-58-1365,-50 52-5461</inkml:trace>
  <inkml:trace contextRef="#ctx0" brushRef="#br0" timeOffset="10">1499 1558 24575,'0'136'0,"0"-149"0,0 0 0,2-1 0,0 1 0,8-25 0,-9 35 0,1 0 0,-1 0 0,1 1 0,-1-1 0,1 0 0,0 0 0,0 1 0,0-1 0,1 1 0,-1-1 0,6-2 0,-6 3 0,0 2 0,0-1 0,0 0 0,0 0 0,0 0 0,0 1 0,0-1 0,0 1 0,1 0 0,-1-1 0,0 1 0,0 0 0,0 0 0,1 0 0,-1 1 0,0-1 0,0 0 0,0 1 0,0-1 0,0 1 0,1-1 0,1 2 0,-2-1 0,0 0 0,1 0 0,-1 0 0,0 1 0,0-1 0,0 0 0,0 0 0,0 1 0,-1-1 0,1 1 0,0 0 0,-1 0 0,0 0 0,1 0 0,-1 0 0,0 0 0,1 2 0,8 36 0,-10-40 0,0 1 0,0-1 0,0 0 0,0 0 0,0 0 0,0 1 0,0-1 0,0 0 0,0 0 0,0 1 0,1-1 0,-1 0 0,0 0 0,0 0 0,0 1 0,0-1 0,0 0 0,0 0 0,0 0 0,1 0 0,-1 1 0,0-1 0,0 0 0,0 0 0,0 0 0,1 0 0,-1 0 0,0 0 0,0 1 0,0-1 0,1 0 0,-1 0 0,0 0 0,0 0 0,1 0 0,-1 0 0,0 0 0,0 0 0,0 0 0,1 0 0,-1 0 0,0 0 0,0 0 0,1 0 0,-1 0 0,0 0 0,0 0 0,1 0 0,-1 0 0,0 0 0,15-11 0,9-12 0,-17 14 0,0 2 0,1-1 0,0 1 0,0 0 0,1 0 0,15-8 0,-23 15 0,1-1 0,-1 0 0,1 0 0,0 0 0,0 1 0,-1-1 0,1 0 0,0 1 0,0 0 0,0-1 0,0 1 0,0 0 0,0 0 0,-1 0 0,1 0 0,0 0 0,0 0 0,0 0 0,2 1 0,-2 1 0,0-1 0,0 0 0,0 0 0,0 1 0,-1-1 0,1 1 0,-1 0 0,1-1 0,-1 0 0,0 1 0,1 0 0,-1-1 0,0 1 0,0 0 0,-1 0 0,1 0 0,0 0 0,-1 0 0,0-1 0,1 4 0,1 11-183,0 1-1,-1-1 0,-2 17 1,1-25-448,-1 11-6195</inkml:trace>
  <inkml:trace contextRef="#ctx0" brushRef="#br0" timeOffset="11">97 649 24575,'120'-1'0,"-4"-1"0,195 18 0,-261-11 0,77-2 0,-3 0 0,-33 7 0,-58-6 0,54 3 0,-63-6 0,42-1 0,114 12 0,-128-7 0,60 0 0,-64-4 0,81 10 0,-66-6 0,-52-5 0,1 0 0,0 1 0,0-1 0,0 2 0,17 4 0,-26-5 0,-1 1 0,1-1 0,-1 1 0,0-1 0,0 1 0,0 0 0,0-1 0,0 1 0,0 0 0,0 0 0,-1 0 0,1 0 0,-1 1 0,0-1 0,1 0 0,-1 0 0,1 5 0,11 48 0,-10-35 0,7 52 0,4 14 0,-7-46 0,-2 0 0,-2 1 0,-6 73 0,0-24 0,2-65 0,-11 50 0,7-49 0,-4 46 0,-4 51 0,-1-1 0,13-103 0,-1-1 0,-7 23 0,-4 35 0,14-13 0,0-36 0,-1 0 0,-6 30 0,6-56 0,0 0 0,0 1 0,0-1 0,0 0 0,1 0 0,-1 1 0,0-1 0,0 0 0,1 0 0,-1 1 0,1-1 0,-1-1 0,1 1 0,0 0 0,0 0 0,-1 0 0,1 0 0,0 0 0,0 0 0,0 0 0,0 0 0,0 0 0,0 0 0,1-1 0,-1 1 0,0 0 0,0-1 0,1 1 0,-1-1 0,0 1 0,1-1 0,-1 0 0,0 1 0,1-1 0,-1 0 0,1 0 0,-1 0 0,0 0 0,3 0 0,10 1 0,1-1 0,0 0 0,16-3 0,-9 2 0,429-2 0,-263 4 0,-168 0 0,0 0 0,37 8 0,-36-5 0,1-1 0,28 2 0,-16-5 0,1 2 0,-1 0 0,0 3 0,63 14 0,-69-13 0,0-1 0,0-1 0,58 0 0,34 6 0,-70-5 0,-1-1 0,62-3 0,-62-1 0,0 1 0,67 10 0,-80-7 0,56 1 0,-60-4 0,0 1 0,51 8 0,-46-5 0,1-1 0,0-1 0,0-2 0,41-3 0,-2 0 0,-74 2 0,0 1 0,1-1 0,-1 0 0,0-1 0,0 1 0,1 0 0,-1-1 0,0 0 0,0 1 0,0-1 0,0 0 0,0-1 0,0 1 0,0 0 0,0-1 0,5-2 0,-7 2 0,1 0 0,-1-1 0,1 1 0,-1-1 0,0 0 0,0 2 0,-1-2 0,1 0 0,0 1 0,-1-1 0,0 0 0,0 0 0,0 2 0,0-2 0,0 0 0,-1 0 0,-1-4 0,-34-188 0,29 121 0,6-123 0,4 82 0,-3 109 0,1-1 0,0 1 0,0-1 0,1 1 0,0 0 0,0-1 0,1 1 0,0 0 0,6-9 0,7-13 0,1-15 0,-2 1 0,-2-2 0,8-59 0,5 20 0,-20 66 0,0-1 0,-1 1 0,-1-1 0,3-28 0,-6 12 0,-4-156 0,-2 168 0,4 17 0,0 0 0,0 0 0,0 1 0,1-1 0,0 0 0,1-7 0,-1 10 0,1 1 0,-1 0 0,1-1 0,0 1 0,-1 0 0,1-1 0,0 1 0,0 0 0,0 0 0,0 0 0,0 0 0,0 0 0,1 0 0,-1 0 0,0 0 0,1 0 0,-1 1 0,0-1 0,1 0 0,-1 0 0,1 1 0,0-1 0,-1 1 0,1-1 0,-1 1 0,1 0 0,2-1 0,27-2 0,-1 1 0,0 1 0,56 5 0,4 0 0,412-4 0,-470-2 0,0 0 0,37-8 0,-18 2 0,10-1 0,-35 4 0,0 1 0,46-2 0,15 7 0,-26 0 0,0-2 0,102-12 0,-101 6-10,0 4 1,122 3-1,-70 1-1326,-91-1-5490</inkml:trace>
  <inkml:trace contextRef="#ctx0" brushRef="#br0" timeOffset="12">759 161 24575,'1'-11'0,"2"1"0,0-1 0,1 1 0,0-1 0,0 1 0,2 0 0,-1 0 0,13-15 0,4-8 0,-22 31 0,0 1 0,1 0 0,-1 0 0,1 0 0,-1 0 0,1 0 0,0 0 0,0 1 0,-1-1 0,1 0 0,0 0 0,0 0 0,0 0 0,0 0 0,0 1 0,0-1 0,0 0 0,1 1 0,-1-1 0,2 0 0,-3 1 0,1 0 0,0 1 0,-1-1 0,1 1 0,0-1 0,-1 1 0,1-1 0,0 1 0,-1-1 0,1 1 0,-1-1 0,1 1 0,-1-1 0,0 1 0,1 0 0,-1-1 0,0 1 0,1 0 0,-1-1 0,0 0 0,0 1 0,0-1 0,1 2 0,5 51 0,-7-10 0,-2 1 0,-15 59 0,13-44 72,5-45-431,-1 0 0,-1-1-1,-6 26 1,2-24-6467</inkml:trace>
  <inkml:trace contextRef="#ctx0" brushRef="#br0" timeOffset="13">653 428 24575,'4'0'0,"6"0"0,7 0 0,3 0 0,4 0 0,3 0 0,0 0 0,0 0 0,1 0 0,-1 0 0,0 0 0,0 0 0,0 0 0,-5 0-8191</inkml:trace>
  <inkml:trace contextRef="#ctx0" brushRef="#br0" timeOffset="14">1076 338 24575,'1'0'0,"0"1"0,0-1 0,0 1 0,0-1 0,0 1 0,1-1 0,-1 1 0,0 0 0,0-1 0,0 1 0,-1 0 0,1 0 0,0 0 0,0-1 0,0 1 0,-1 0 0,1 0 0,0 0 0,-1 0 0,1 0 0,-1-1 0,0 1 0,1 0 0,-1 1 0,0-1 0,0 0 0,1 2 0,4 33 0,-5-32 0,1 45 0,-1-41 0,0-34 0,0 19 0,1-1 0,0 1 0,0-1 0,1 0 0,0 1 0,1-1 0,0 1 0,0 0 0,8-11 0,-9 15 0,0-1 0,1 0 0,0 1 0,0 0 0,0 0 0,0 0 0,1 0 0,-1 0 0,1 0 0,0 1 0,0 0 0,0-1 0,0 1 0,1 0 0,-1 0 0,1 1 0,-1-1 0,1 1 0,8-2 0,-12 3 0,1 0 0,-1 0 0,1 0 0,0 0 0,-1 0 0,1 0 0,-1 0 0,1 1 0,0-1 0,-1 0 0,1 1 0,-1-1 0,1 1 0,-1 0 0,0-1 0,1 1 0,-1 0 0,0 0 0,1 0 0,-1-1 0,2 4 0,-1-2 0,0 1 0,0-1 0,0 0 0,-1 1 0,1 0 0,-1 0 0,0 0 0,0 0 0,1 4 0,0 7 0,-1-1 0,0 0 0,-3 19 0,2-27 0,59-48 0,-53 41 0,1-1 0,-1 1 0,1 0 0,-1 0 0,1 1 0,0 0 0,0 0 0,0 0 0,0 0 0,0 1 0,8 1 0,-12-1 0,0 0 0,0 1 0,-1-1 0,1 1 0,0-1 0,0 1 0,-1 0 0,1 0 0,0 0 0,-1 1 0,0-1 0,1 0 0,-1 1 0,0-1 0,1 1 0,-1-1 0,0 1 0,-1-1 0,1 1 0,0 0 0,0 1 0,-1-1 0,0 0 0,1 0 0,-1 0 0,0 0 0,0 0 0,1 6 0,0 4-455,-1 2 0,-1 24 0,-1-18-6371</inkml:trace>
  <inkml:trace contextRef="#ctx0" brushRef="#br0" timeOffset="15">256 272 24575,'4'0'0,"6"0"0,7 0 0,3 0 0,4 0 0,3 0 0,0 0 0,0 0 0,1 0 0,-1 0 0,0 0 0,0 0 0,0 0 0,0 0 0,-1 0 0,-4 0-8191</inkml:trace>
  <inkml:trace contextRef="#ctx0" brushRef="#br0" timeOffset="16">203 294 24575,'1'-3'0,"0"1"0,0-1 0,1 0 0,0 0 0,-1 1 0,1 0 0,0 0 0,1-1 0,-1 1 0,0 0 0,1 0 0,-1-1 0,1 2 0,0-1 0,0 1 0,4-3 0,16-11 0,0-6-227,1 1-1,2 1 1,0 1-1,2 1 1,37-19-1,-50 30-6598</inkml:trace>
  <inkml:trace contextRef="#ctx0" brushRef="#br0" timeOffset="17">150 250 24575,'0'4'0,"0"4"0,0 6 0,4 0 0,2 1 0,4-2 0,5-3 0,0 0 0,2 0 0,-2 0 0,1 4 0,-2 2 0,0-2 0,-1 1 0,-3-2-8191</inkml:trace>
  <inkml:trace contextRef="#ctx0" brushRef="#br0" timeOffset="18">1658 360 24575,'4'0'0,"7"0"0,5 0 0,5 0 0,3 0 0,2 0 0,1 0 0,1 0 0,-1 0 0,1 0 0,-1 0 0,0 0 0,-1 0 0,-4 0-8191</inkml:trace>
  <inkml:trace contextRef="#ctx0" brushRef="#br0" timeOffset="19">1843 183 24575,'1'11'0,"1"0"0,1 0 0,0-1 0,1 1 0,0-1 0,1 1 0,0-2 0,1 1 0,9 10 0,8 5 0,-14-17 0,-2 0 0,1 0 0,-1 0 0,7 12 0,-13-18 0,0 0 0,0-1 0,0 1 0,-1 0 0,1 0 0,-1 0 0,1 0 0,-1 0 0,0-1 0,1 1 0,-1 0 0,0 0 0,-1 0 0,1-1 0,0 1 0,-1 0 0,1 0 0,-1 0 0,0 0 0,1-1 0,-1 1 0,0-1 0,0 1 0,-1 0 0,1-1 0,0 1 0,0-1 0,-3 3 0,-69 46-1365,59-41-5461</inkml:trace>
  <inkml:trace contextRef="#ctx0" brushRef="#br0" timeOffset="20">5257 338 24575,'7'0'0,"0"-1"0,0 0 0,0 0 0,0 0 0,0 0 0,0-1 0,-1 0 0,1-1 0,-1 0 0,1 0 0,10-6 0,0-2 0,0-1 0,23-20 0,-40 32 0,0 0 0,0-1 0,1 1 0,-1 0 0,0-1 0,1 1 0,-1 0 0,0-1 0,1 1 0,-1 0 0,1 0 0,-1-1 0,0 1 0,1 0 0,-1 0 0,1 0 0,-1-1 0,1 1 0,-1 0 0,1 0 0,-1 0 0,0 0 0,1 0 0,-1 0 0,1 0 0,-1 0 0,1 0 0,-1 0 0,1 0 0,-1 0 0,1 0 0,0 1 0,5 12 0,-5 27 0,-1-34 0,-1 19 0,1 0 0,2 1 0,10 47 0,-4-36-1365,-6-20-5461</inkml:trace>
  <inkml:trace contextRef="#ctx0" brushRef="#br0" timeOffset="21">5600 360 24575,'1'0'0,"0"1"0,0-1 0,0 1 0,0-1 0,1 1 0,-1-1 0,0 1 0,0 0 0,0-1 0,0 1 0,-1 0 0,1 0 0,0 0 0,0 0 0,0-1 0,-1 1 0,1 0 0,0 0 0,-1-1 0,1 1 0,-1 1 0,0-1 0,1 0 0,-1 0 0,0 0 0,0 0 0,1 2 0,4 34 0,-5-33 0,-1 12 0,1 4 0,2-19 0,3-13 0,-4 10 0,3-12 0,1 2 0,0-1 0,11-17 0,-15 28 0,0-1 0,1 2 0,-1-1 0,1 0 0,-1 0 0,1 0 0,0 0 0,-1 0 0,1 0 0,0 1 0,1-1 0,-1 0 0,0 1 0,0 1 0,1-2 0,-1 1 0,1 0 0,-1 0 0,1 0 0,0 0 0,-1 1 0,1-1 0,0 1 0,0-1 0,0 1 0,-1 0 0,1 0 0,3 0 0,-4 0 0,-1 1 0,0-1 0,1 0 0,-1 1 0,1-1 0,-1 1 0,0 0 0,0-1 0,1 1 0,-1 0 0,0 0 0,0 0 0,0-1 0,0 1 0,0-1 0,0 1 0,0 1 0,0-1 0,-1 0 0,1 0 0,0 0 0,-1 0 0,1 1 0,-1-1 0,1 0 0,-1 2 0,2 38 0,1-7 0,26-61 0,-23 22 0,1-1 0,0 1 0,0-1 0,1 2 0,0 0 0,0-1 0,0 1 0,1 0 0,-1 2 0,13-5 0,-19 6 0,1 0 0,-1 0 0,1 1 0,-1-1 0,1 1 0,-1-1 0,1 1 0,-1 0 0,1 0 0,-1 0 0,1 0 0,-1 0 0,1 0 0,-1 1 0,1-1 0,-1 1 0,1-1 0,-1 1 0,0 0 0,1 0 0,-1 0 0,0 0 0,0 0 0,0 1 0,0-1 0,0 0 0,0 1 0,0-1 0,0 0 0,-1 1 0,1 0 0,-1-1 0,1 1 0,-1 0 0,0 0 0,0 0 0,0 0 0,0 0 0,0 0 0,-1 0 0,1 0 0,0 3 0,1 6 30,0 2 0,-1-1 0,0 16 0,-1-25-144,0 2 0,-1-1-1,0 1 1,1-2 0,-2 2 0,1-1-1,0 0 1,-1 1 0,0-2 0,0 1-1,-1 0 1,-3 5 0,-7 1-6712</inkml:trace>
  <inkml:trace contextRef="#ctx0" brushRef="#br0" timeOffset="22">4648 472 24575,'530'0'-1365,"-508"0"-5461</inkml:trace>
  <inkml:trace contextRef="#ctx0" brushRef="#br0" timeOffset="23">4622 472 24575,'2'-1'0,"0"1"0,0-1 0,-1 1 0,1-1 0,0 0 0,0 1 0,0 0 0,0-1 0,-1 0 0,1 0 0,0 0 0,-1-1 0,1 1 0,-1 0 0,1 0 0,1-4 0,25-28 0,-14 14 0,-1 8-151,1-1-1,1 1 0,0 0 0,0 2 1,1-1-1,0 2 0,1 0 1,36-12-1,-36 14-6674</inkml:trace>
  <inkml:trace contextRef="#ctx0" brushRef="#br0" timeOffset="24">4648 449 24575,'0'4'0,"4"1"0,2 4 0,-1 4 0,5-1 0,3-1 0,1 0 0,-3 2 0,2 0 0,-1 0 0,-4 3 0,-2 1 0,2-1 0,0 0 0,-2-3-8191</inkml:trace>
  <inkml:trace contextRef="#ctx0" brushRef="#br0" timeOffset="25">6130 428 24575,'4'0'0,"6"0"0,7 0 0,3 0 0,4 0 0,2 0 0,1 0 0,1 0 0,0 0 0,-1 0 0,0 0 0,-4 3 0,-3 2 0,1 0 0,1-1 0,-3-1-8191</inkml:trace>
  <inkml:trace contextRef="#ctx0" brushRef="#br0" timeOffset="26">6421 294 24575,'1'7'0,"1"1"0,0-1 0,1 1 0,0 0 0,0-2 0,1 2 0,0-1 0,1-1 0,7 10 0,-6-7 0,0-1 0,0 1 0,-1 1 0,0-2 0,5 18 0,-9-23 0,-1-2 0,0 2 0,0 0 0,0 0 0,0 0 0,0-1 0,0 1 0,-1-1 0,0 1 0,1-1 0,-1 1 0,0 0 0,-1-1 0,1 1 0,0-1 0,-1 0 0,0 0 0,1 0 0,-1 1 0,0-1 0,0 0 0,-1 0 0,1 0 0,0 0 0,-5 1 0,-9 8-341,2 1 0,-1 0-1,-19 23 1,24-25-6485</inkml:trace>
  <inkml:trace contextRef="#ctx0" brushRef="#br0" timeOffset="27">494 1293 24575,'77'-5'0,"-71"4"0,-1 1 0,1-2 0,-1 1 0,0-1 0,1 0 0,-1 0 0,0-1 0,0 1 0,-1-1 0,1 1 0,6-6 0,-10 7 0,0 0 0,0 0 0,0 0 0,0 0 0,1 0 0,-1 0 0,0 0 0,0 0 0,1 1 0,-1-1 0,1 0 0,-1 1 0,0 0 0,1 0 0,-1-1 0,1 1 0,0 0 0,1-1 0,-2 2 0,0-1 0,0 0 0,0 1 0,-1-1 0,1 0 0,0 0 0,-1 0 0,1 1 0,0-1 0,-1 1 0,1 0 0,-1-1 0,1 1 0,-1-1 0,1 1 0,-1 0 0,0-1 0,1 1 0,-1 0 0,0-1 0,1 1 0,-1 0 0,0 0 0,0 0 0,2 9 0,-1 0 0,0 0 0,-3 19 0,2-16 0,-3 125-1365,3-119-5461</inkml:trace>
  <inkml:trace contextRef="#ctx0" brushRef="#br0" timeOffset="28">732 1626 24575,'0'-4'0,"4"-1"0,2-3 0,4-2 0,1-1 0,3 0 0,3 3 0,-1-2 0,1 2 0,-2-3 0,-4 2-8191</inkml:trace>
  <inkml:trace contextRef="#ctx0" brushRef="#br0" timeOffset="29">997 1382 24575,'187'0'0,"-195"0"0,0 0 0,1 0 0,-1 0 0,0 1 0,0 0 0,1 0 0,-15 5 0,20-4 0,0-1 0,-1 0 0,1 1 0,0-1 0,0 1 0,-1-1 0,1 0 0,1 1 0,-1 0 0,0 0 0,1 0 0,-1 0 0,1 0 0,-1 0 0,1 1 0,0-2 0,0 1 0,0 1 0,1-1 0,-1 0 0,1 1 0,-1-1 0,1 1 0,0-1 0,0 3 0,0-3 0,0 0 0,0 0 0,0 0 0,0 0 0,1 0 0,-1 0 0,1-1 0,-1 1 0,1-1 0,0 1 0,0 0 0,0 0 0,0-1 0,0 1 0,0 0 0,0-1 0,1 1 0,-1-1 0,1 0 0,-1 0 0,1 0 0,0 0 0,-1 0 0,1 0 0,0 0 0,0 0 0,3 1 0,5 1 0,1 0 0,-1-1 0,1 0 0,19-1 0,27 7 0,-54-8 0,0 1 0,0 0 0,0 0 0,0 0 0,0 0 0,-1 0 0,1 1 0,0-1 0,-1 0 0,1 0 0,-1 1 0,0 0 0,4 3 0,-4-2 0,1 0 0,-1 0 0,-1 0 0,1 0 0,0 0 0,-1 1 0,0-1 0,0 0 0,0 0 0,0 1 0,-1-1 0,0 1 0,0-1 0,0 0 0,0 1 0,0-1 0,-1 1 0,0-1 0,0 1 0,0-2 0,0 2 0,0-1 0,-1 0 0,0 0 0,0 1 0,0-2 0,0 1 0,0 0 0,-1-1 0,0 1 0,1 0 0,-1-1 0,0 0 0,0 0 0,-1 0 0,1 0 0,-1 0 0,1 0 0,-1-1 0,1 1 0,-1-1 0,0 0 0,0 0 0,0 0 0,-7 0 0,-82 0-578,81-2-209,-12 1-6039</inkml:trace>
  <inkml:trace contextRef="#ctx0" brushRef="#br0" timeOffset="30">970 1204 24575,'-3'-93'0,"6"-104"0,8 161 0,2-10 0,-12 44 0,-1 1 0,0-1 0,0 0 0,0 0 0,0 0 0,0 0 0,-1 0 0,1 0 0,-1 0 0,1 0 0,-1 1 0,0 0 0,0-1 0,1 0 0,-2 0 0,1 1 0,0-1 0,0 0 0,-2-1 0,1 2 0,1 0 0,-1 0 0,1 1 0,-1 0 0,1-1 0,-1 1 0,0-1 0,1 1 0,-1-1 0,0 1 0,0 0 0,0-1 0,1 1 0,-1 0 0,0 0 0,0 0 0,0 0 0,1 1 0,-1-1 0,0 0 0,0 1 0,1-1 0,-1 1 0,0-1 0,1 1 0,-4 0 0,-44 27 0,35-19 0,7-6 0,-11 9 0,20-8 0,14-2 0,-8-3 0,0 0 0,0 1 0,0-1 0,0-1 0,-1 0 0,1 0 0,-1-1 0,13-6 0,-11 7 0,-1-2 0,0 1 0,1 0 0,0 1 0,10-2 0,-16 4 0,1 0 0,-1-1 0,1 2 0,-1-1 0,1 0 0,-1 1 0,0-1 0,1 1 0,-1 0 0,0 0 0,1 0 0,-1 0 0,0 1 0,0-1 0,0 1 0,0-1 0,4 5 0,3 0-170,-2 2-1,1 0 0,-1 0 1,-1 0-1,1 1 0,-2 1 1,7 9-1,-5-5-6655</inkml:trace>
  <inkml:trace contextRef="#ctx0" brushRef="#br0" timeOffset="31">71 627 24575,'4'0'0,"6"0"0,2 0-8191</inkml:trace>
  <inkml:trace contextRef="#ctx0" brushRef="#br0" timeOffset="32">2002 672 24575,'0'3'0,"-5"2"0,-1 4 0,1 3 0,-4 1 0,-5-3 0,0 1 0,3 3 0,-2-2 0,1 2 0,4 2 0,2-2-8191</inkml:trace>
  <inkml:trace contextRef="#ctx0" brushRef="#br0" timeOffset="33">203 561 24575,'-5'0'0,"-5"0"0,-6 0 0,-1 3 0,4 6 0,-2 1 0,3 3 0,-2-2 0,-3-2 0,2 1 0,3 3 0,-1-1 0,2 1 0,-1-1 0,0 0 0,3-1-8191</inkml:trace>
  <inkml:trace contextRef="#ctx0" brushRef="#br0" timeOffset="34">2002 2047 24575,'0'3'0,"-5"3"0,-1 3 0,1 3 0,-4 0 0,-1 3 0,-2-3 0,0 1 0,3 0-8191</inkml:trace>
  <inkml:trace contextRef="#ctx0" brushRef="#br0" timeOffset="35">4569 2224 24575,'-5'0'0,"-1"4"0,0 5 0,1 5 0,-2 3 0,-1 3 0,-4-2 0,1 0 0,-2-4 0,0 1 0,-1-3 0,1-4-8191</inkml:trace>
  <inkml:trace contextRef="#ctx0" brushRef="#br0" timeOffset="36">4754 737 24575,'0'4'0,"-5"6"0,-1 3 0,-4 1 0,-1 0 0,-2 0 0,-5-4 0,2 1 0,4 2 0,-2-2 0,3 3 0,-2-3 0,-3-2 0,1 0 0,-1 0 0,1-4-8191</inkml:trace>
  <inkml:trace contextRef="#ctx0" brushRef="#br0" timeOffset="37">6659 672 24575,'-2'0'0,"1"0"0,-1 1 0,1-1 0,-1 1 0,1-1 0,-1 1 0,1-1 0,0 1 0,-1 0 0,1-1 0,0 1 0,0 0 0,0 0 0,0 0 0,-1 0 0,2 0 0,-1 0 0,0 0 0,-1 2 0,-17 28 0,12-18 0,-11 10 0,-1 1 0,-31 30 0,-3 3 0,43-43-1365,3-2-5461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0T11:46:15.6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2875 2765 24575,'-1'5'0,"0"0"0,0 0 0,0-1 0,0 1 0,-1 0 0,1 0 0,-1 0 0,-1-1 0,1 0 0,-5 7 0,-37 45 0,20-27 0,16-19 0,-1-3 0,0 2 0,0-1 0,0-1 0,-15 9 0,-24 20 0,42-32 0,2 1 0,-1-1 0,0 0 0,1 1 0,0 0 0,0-1 0,-4 9 0,8-12 0,-1 0 0,1 1 0,-1-1 0,1 0 0,0 1 0,-1-1 0,1 1 0,0-1 0,0 1 0,0-1 0,0 0 0,0 0 0,0 0 0,1 1 0,-1-1 0,0 1 0,1-1 0,-1 0 0,1 1 0,0-1 0,-1 0 0,1 1 0,0-1 0,0 0 0,-1 0 0,1 0 0,0 0 0,0 0 0,1 0 0,-1 0 0,0 0 0,0 0 0,2 1 0,5 2 5,0 1 0,0-1 0,1 0 0,-1 0 0,1 0-1,0-2 1,0 0 0,1 0 0,-1 0 0,13 1 0,12-1-162,53-4 0,-33 0-948,-31 2-5721</inkml:trace>
  <inkml:trace contextRef="#ctx0" brushRef="#br0" timeOffset="1">2875 2841 24575,'0'486'-1365,"0"-464"-5461</inkml:trace>
  <inkml:trace contextRef="#ctx0" brushRef="#br0" timeOffset="2">3166 2944 24575,'56'-21'0,"-24"18"0,0 0 0,49 3 0,-87-1 0,1 2 0,0-1 0,0 0 0,0 1 0,0 0 0,-1 0 0,1 1 0,1-2 0,-1 2 0,0 0 0,0 1 0,1-1 0,-1 1 0,1 0 0,0 0 0,0 0 0,0 0 0,0 0 0,0 1 0,1 0 0,0 0 0,-1 0 0,2 0 0,-1 1 0,0-2 0,1 2 0,0-1 0,0 1 0,0 0 0,1 0 0,0-1 0,-2 9 0,3-7 0,-1 0 0,1-1 0,0 1 0,0 0 0,1 0 0,-1-1 0,1 0 0,1 1 0,-1 0 0,1 0 0,3 6 0,-3-9 0,0-1 0,1 1 0,-1-1 0,0 1 0,1-1 0,-1 0 0,1 0 0,0 0 0,0-1 0,0 1 0,0-1 0,0 1 0,0-1 0,0 0 0,0 0 0,0 0 0,1 0 0,-1-1 0,0 1 0,1-1 0,4 0 0,1 0 0,0 1 0,0 0 0,0 1 0,-1-1 0,1 2 0,-1-1 0,1 1 0,13 6 0,-19-7 0,1 1 0,-1-1 0,0 1 0,0 0 0,0 0 0,0 0 0,0 0 0,-1-1 0,0 2 0,1-1 0,-1 1 0,0 0 0,-1-1 0,1 1 0,-1 0 0,1-1 0,-1 1 0,0 0 0,-1 0 0,1 7 0,0-5 0,1 9 0,-1-1 0,-1 1 0,0-1 0,-3 18 0,3-29 0,-1 0 0,1 0 0,-1 0 0,0 0 0,0-1 0,0 0 0,0 1 0,0 0 0,-1-1 0,1 1 0,-1-1 0,1 1 0,-1-1 0,0 0 0,0 1 0,0-1 0,-1-1 0,1 0 0,0 1 0,-1 0 0,1-1 0,-1 1 0,0-1 0,1 0 0,-1 0 0,0 0 0,-5 1 0,-9 1 0,0 0 0,0-2 0,-1 0 0,1-1 0,-1-1 0,1-1 0,0 0 0,-26-7 0,27-1-1365,5-1-5461</inkml:trace>
  <inkml:trace contextRef="#ctx0" brushRef="#br0" timeOffset="3">3643 3173 24575,'1'0'0,"0"0"0,0 1 0,0-1 0,0 1 0,0 0 0,0-1 0,0 1 0,0 0 0,0 0 0,0 0 0,0-1 0,0 1 0,0 0 0,0 0 0,-1 0 0,1 0 0,0 0 0,-1 1 0,1-1 0,-1 0 0,1 0 0,-1 0 0,0 1 0,0-1 0,1 0 0,-1 0 0,0 1 0,5 41 0,-5-38 0,1 17 0,-2-15 0,1-1 0,1 2 0,-1-1 0,1 0 0,0 0 0,1 0 0,0 0 0,0 0 0,6 12 0,-8-19 0,1 0 0,-1 0 0,1 0 0,-1-1 0,1 1 0,-1 0 0,0-1 0,1 1 0,-1 0 0,0-1 0,1 1 0,-1 0 0,0-1 0,0 1 0,1-1 0,-1 1 0,0 0 0,0-1 0,1 1 0,-1-1 0,0 1 0,0-1 0,0 1 0,0-1 0,0 1 0,0-1 0,0 1 0,0-1 0,0 1 0,0-1 0,0 1 0,0-1 0,-1 0 0,6-26 0,-5 26 0,1-7 0,1-1 0,0 1 0,0 1 0,0-1 0,1 1 0,1-1 0,-1 2 0,1-2 0,0 1 0,10-11 0,-13 17 0,1-1 0,-1 0 0,1 1 0,0-1 0,0 1 0,0-1 0,0 1 0,0 0 0,0 0 0,0 0 0,0 0 0,1 0 0,-1 1 0,0 0 0,1-1 0,3 1 0,-3 0 0,0 0 0,0 1 0,0-1 0,0 0 0,0 1 0,0 0 0,0 1 0,0-1 0,-1 0 0,1 1 0,0-1 0,-1 1 0,1 0 0,-1 0 0,0 0 0,4 4 0,-3-1 0,1-2 0,-1 2 0,0 0 0,0 1 0,0-1 0,0-1 0,-1 2 0,0 0 0,-1-1 0,1 1 0,-1-1 0,0 1 0,0 9 0,1 10 0,-5 43 0,2-45 0,2-46 0,1 2 0,10-38 0,-12 54 0,1 1 0,1 0 0,-1-1 0,1 0 0,-1 0 0,1 0 0,1 2 0,-1-2 0,1 1 0,-1 0 0,1 0 0,1 0 0,-1 0 0,0 1 0,1 0 0,0-1 0,0 1 0,0 0 0,0 0 0,0 1 0,9-5 0,-11 7-4,1-1 0,0 1 0,-1 0 0,1 0 0,0-1 0,0 1 0,0 0 0,-1 1 0,1-1 0,0 0 0,0 0 0,-1 0 0,1 1 0,0 0 0,-1 0 0,1 0 0,-1 0 0,1 1 0,3 2 0,-2-1 20,-1 0 1,0 1 0,0-1 0,0 1-1,-1-2 1,1 2 0,-1 0-1,0 0 1,0 0 0,0 0-1,1 5 1,1 7-265,-1-1 1,0 2-1,-1-2 1,0 1-1,-2 21 1,-1-14-6579</inkml:trace>
  <inkml:trace contextRef="#ctx0" brushRef="#br0" timeOffset="4">2082 3148 24575,'0'-5'0,"4"0"0,6-1 0,6 1 0,5 2 0,3 1 0,2 1 0,1 0 0,1 1 0,0 1 0,-1-1 0,0 0 0,0 0 0,0 0 0,-5 1-8191</inkml:trace>
  <inkml:trace contextRef="#ctx0" brushRef="#br0" timeOffset="5">2029 3122 24575,'4'0'0,"2"-5"0,4-4 0,1-7 0,2 0 0,0-1 0,1 1 0,4 5 0,-2-2 0,1 3 0,-3-2 0,2-4 0,-3-2 0,-3 2-8191</inkml:trace>
  <inkml:trace contextRef="#ctx0" brushRef="#br0" timeOffset="6">2055 3071 24575,'0'12'0,"0"-1"0,1 1 0,1-1 0,0 0 0,0 1 0,2-1 0,-1 0 0,1 0 0,1 0 0,0 0 0,1-2 0,0 2 0,0-1 0,1-1 0,11 12 0,-9-10-15,-1 1-1,0-1 1,-1 1-1,-1 0 1,8 19 0,-1-1-1258,-5-15-5553</inkml:trace>
  <inkml:trace contextRef="#ctx0" brushRef="#br0" timeOffset="7">4092 3148 24575,'4'0'0,"7"0"0,5 0 0,5 0 0,3 0 0,2 0 0,1 4 0,1 2 0,-1-1 0,1 0 0,-6-2-8191</inkml:trace>
  <inkml:trace contextRef="#ctx0" brushRef="#br0" timeOffset="8">4278 3020 24575,'0'8'0,"1"-1"0,0 1 0,0 0 0,1 0 0,0-2 0,1 2 0,0 0 0,6 11 0,40 55 0,-6-6 0,-42-66 0,0-1-1,0 1 0,0 0 1,0 0-1,-1 0 0,1-1 1,-1 1-1,1 0 0,-1 0 1,0 0-1,0 0 0,0 0 1,0 0-1,0 0 0,0 0 1,-1 0-1,1 0 0,-1 0 1,1 0-1,-1-1 0,0 1 1,0 0-1,-1 2 0,-2 1 18,-1 1 0,0-1-1,0-1 1,0 1 0,-8 6-1,7-7-223,1 0 0,-1 0 0,1 1 0,1 0 0,-1 0 0,-3 6 0,0 4-6619</inkml:trace>
  <inkml:trace contextRef="#ctx0" brushRef="#br0" timeOffset="9">997 1948 24575,'0'60'0,"2"-22"0,-2 2 0,-2-2 0,-15 78 0,13-85 0,4-26 0,0 0 0,0-1 0,-1 1 0,0 0 0,0 0 0,0 0 0,0-1 0,-1 0 0,0 1 0,0-1 0,0 1 0,-4 5 0,6-10 0,-1 0 0,0 1 0,0-1 0,0 0 0,0 1 0,0-1 0,0 0 0,0 0 0,0 0 0,0 0 0,0 0 0,0 0 0,0 0 0,0 0 0,0 0 0,0 0 0,0-1 0,0 1 0,1 0 0,-1-1 0,0 1 0,0-1 0,0 1 0,0-1 0,0 1 0,1-1 0,-1 1 0,0-1 0,0 0 0,1 1 0,-1-1 0,1 0 0,-1 0 0,1 0 0,-1 0 0,1 1 0,-1-1 0,1 0 0,-1-2 0,-23-39 0,22 37 0,-18-29 0,14 25 0,21 25 0,-5-6 0,-1 1 0,0 0 0,1-2 0,0 1 0,1-1 0,0-1 0,12 8 0,-20-14 0,-1-1 0,1 0 0,0 0 0,0 0 0,0 0 0,0 0 0,-1-1 0,1 0 0,0 0 0,0 0 0,0 0 0,0 0 0,0 0 0,0 0 0,0 0 0,0-1 0,0 1 0,0-1 0,0 0 0,0 0 0,0-1 0,-1 1 0,1 0 0,-1-1 0,1 0 0,-1 0 0,1 1 0,-1-1 0,0-1 0,0 1 0,0 0 0,0 0 0,0 0 0,1-3 0,57-68-1365,-50 60-5461</inkml:trace>
  <inkml:trace contextRef="#ctx0" brushRef="#br0" timeOffset="10">1499 1794 24575,'0'156'0,"0"-172"0,0 1 0,2 0 0,0 0 0,8-29 0,-9 41 0,1 0 0,-1-1 0,1 1 0,-1-1 0,1 1 0,0 0 0,0 0 0,0 0 0,1 1 0,-1-1 0,6-4 0,-6 6 0,0 0 0,0 0 0,0 0 0,0 0 0,0 0 0,0 1 0,0-1 0,0 1 0,1-1 0,-1 1 0,0 0 0,0 0 0,0 0 0,1 0 0,-1 0 0,0 0 0,0 1 0,0-1 0,0 1 0,0-1 0,1 1 0,1 1 0,-2-1 0,0 0 0,1 1 0,-1-1 0,0 0 0,0 1 0,0 0 0,0-1 0,0 1 0,-1-1 0,1 1 0,0 0 0,-1 0 0,0 0 0,1 1 0,-1-1 0,0 0 0,1 4 0,8 40 0,-10-46 0,0 1 0,0-1 0,0 0 0,0 0 0,0 1 0,0-1 0,0 0 0,0 0 0,0 1 0,0-1 0,1 0 0,-1 0 0,0 0 0,0 1 0,0-1 0,0 0 0,0 0 0,0 0 0,0 1 0,1-1 0,-1 0 0,0 0 0,0 0 0,0 0 0,0 1 0,1-1 0,-1 0 0,0 0 0,0 0 0,0 0 0,1 0 0,-1 0 0,0 0 0,0 1 0,1-1 0,-1 0 0,0 0 0,0 0 0,0 0 0,1 0 0,-1 0 0,0 0 0,0 0 0,1 0 0,-1 0 0,0 0 0,0-1 0,1 1 0,-1 0 0,0 0 0,15-11 0,9-18 0,-17 21 0,0-1 0,1 0 0,0 1 0,0 0 0,1 0 0,15-9 0,-23 16 0,1 0 0,-1 0 0,1 0 0,0 0 0,0 0 0,-1 1 0,1-1 0,0 1 0,0-1 0,0 1 0,0 0 0,0-1 0,0 1 0,-1 0 0,1 0 0,0 1 0,0-1 0,0 0 0,2 1 0,-2 0 0,0 1 0,0-1 0,0 1 0,0-1 0,-1 1 0,1 0 0,-1 0 0,1-1 0,-1 1 0,0 0 0,1 0 0,-1 0 0,0 0 0,0 0 0,-1 0 0,1 1 0,0-1 0,-1 0 0,0 1 0,1 1 0,1 15-183,0-1-1,-1 1 0,-2 19 1,1-29-448,-1 14-6195</inkml:trace>
  <inkml:trace contextRef="#ctx0" brushRef="#br0" timeOffset="11">97 747 24575,'120'-1'0,"-4"-2"0,195 22 0,-261-14 0,77-1 0,-3-1 0,-33 9 0,-58-7 0,54 3 0,-63-8 0,42 0 0,114 15 0,-128-10 0,60 1 0,-64-5 0,81 12 0,-66-8 0,-52-5 0,1 1 0,0-1 0,0 1 0,0 1 0,17 5 0,-26-5 0,-1-1 0,1 1 0,-1 0 0,0-1 0,0 1 0,0 0 0,0 1 0,0-1 0,0-1 0,0 1 0,-1 1 0,1-1 0,-1 1 0,0 0 0,1-1 0,-1 1 0,1 5 0,11 55 0,-10-40 0,7 60 0,4 16 0,-7-53 0,-2 1 0,-2-1 0,-6 85 0,0-28 0,2-73 0,-11 55 0,7-54 0,-4 52 0,-4 58 0,-1 0 0,13-120 0,-1 0 0,-7 28 0,-4 38 0,14-15 0,0-41 0,-1 0 0,-6 34 0,6-63 0,0-1 0,0 1 0,0-1 0,0 0 0,1 1 0,-1-1 0,0 1 0,0-1 0,1 0 0,-1 1 0,1-1 0,-1 0 0,1 1 0,0-1 0,0 0 0,-1 0 0,1-1 0,0 2 0,0-1 0,0 0 0,0 0 0,0 0 0,0-1 0,1 1 0,-1 0 0,0 0 0,0-1 0,1 1 0,-1 0 0,0-1 0,1 1 0,-1-1 0,0 0 0,1 1 0,-1-1 0,1 0 0,-1 0 0,0 0 0,3 0 0,10 1 0,1-1 0,0 0 0,16-3 0,-9 1 0,429-1 0,-263 4 0,-168 0 0,0 1 0,37 8 0,-36-5 0,1-2 0,28 2 0,-16-4 0,1 1 0,-1 1 0,0 2 0,63 17 0,-69-15 0,0-2 0,0 0 0,58 0 0,34 7 0,-70-6 0,-1-2 0,62-3 0,-62-1 0,0 1 0,67 11 0,-80-7 0,56 2 0,-60-7 0,0 2 0,51 10 0,-46-6 0,1-1 0,0-2 0,0-2 0,41-4 0,-2 2 0,-74 1 0,0 0 0,1 0 0,-1 0 0,0 0 0,0 0 0,1-1 0,-1 0 0,0 1 0,0-1 0,0 0 0,0 0 0,0-1 0,0 1 0,0-1 0,0 0 0,5-3 0,-7 2 0,1 0 0,-1 2 0,1-2 0,-1 0 0,0 0 0,0 0 0,-1 0 0,1 0 0,0 0 0,-1 0 0,0 1 0,0-2 0,0 1 0,0 0 0,0 0 0,-1 0 0,-1-6 0,-34-215 0,29 140 0,6-144 0,4 97 0,-3 123 0,1 0 0,0 0 0,0 2 0,1-2 0,0 1 0,0-1 0,1 2 0,0-1 0,6-11 0,7-13 0,1-19 0,-2 0 0,-2 0 0,8-68 0,5 22 0,-20 76 0,0 0 0,-1 1 0,-1-2 0,3-32 0,-6 15 0,-4-181 0,-2 193 0,4 20 0,0 1 0,0-1 0,0 1 0,1 0 0,0-1 0,1-8 0,-1 12 0,1 0 0,-1 1 0,1-1 0,0 1 0,-1-1 0,1 1 0,0-1 0,0 1 0,0 0 0,0-1 0,0 1 0,0 0 0,1 0 0,-1-1 0,0 1 0,1 0 0,-1 0 0,0 1 0,1-1 0,-1 0 0,1 1 0,0 0 0,-1-1 0,1 1 0,-1-1 0,1 1 0,2 0 0,27-4 0,-1 2 0,0 1 0,56 5 0,4 1 0,412-5 0,-470-2 0,0-2 0,37-7 0,-18 1 0,10 0 0,-35 4 0,0 2 0,46-3 0,15 8 0,-26 1 0,0-3 0,102-14 0,-101 7-10,0 3 1,122 5-1,-70 3-1326,-91-3-5490</inkml:trace>
  <inkml:trace contextRef="#ctx0" brushRef="#br0" timeOffset="12">759 185 24575,'1'-12'0,"2"-1"0,0 2 0,1-2 0,0 2 0,0-1 0,2 0 0,-1 1 0,13-18 0,4-10 0,-22 38 0,0 0 0,1-1 0,-1 1 0,1 0 0,-1 0 0,1 0 0,0 0 0,0 0 0,-1 0 0,1 0 0,0 0 0,0 0 0,0 0 0,0 0 0,0 0 0,0 0 0,0 1 0,1-1 0,-1 0 0,2 0 0,-3 1 0,1 1 0,0-1 0,-1 1 0,1-1 0,0 0 0,-1 1 0,1 0 0,0-1 0,-1 1 0,1-1 0,-1 1 0,1 0 0,-1-1 0,0 1 0,1 0 0,-1-1 0,0 1 0,1 0 0,-1 0 0,0 0 0,0-1 0,0 1 0,1 0 0,5 59 0,-7-10 0,-2 2 0,-15 65 0,13-48 72,5-53-431,-1 0 0,-1-1-1,-6 30 1,2-28-6467</inkml:trace>
  <inkml:trace contextRef="#ctx0" brushRef="#br0" timeOffset="13">653 492 24575,'4'0'0,"6"0"0,7 0 0,3 0 0,4 0 0,3 0 0,0 0 0,0 0 0,1 0 0,-1 0 0,0 0 0,0 0 0,0 0 0,-5 0-8191</inkml:trace>
  <inkml:trace contextRef="#ctx0" brushRef="#br0" timeOffset="14">1076 390 24575,'1'0'0,"0"0"0,0 1 0,0-1 0,0 1 0,0 0 0,1-1 0,-1 1 0,0 0 0,0-1 0,0 1 0,-1 0 0,1 0 0,0 0 0,0 0 0,0 0 0,-1 0 0,1-1 0,0 1 0,-1 0 0,1 1 0,-1-1 0,0 0 0,1 0 0,-1 0 0,0 1 0,0-1 0,1 2 0,4 39 0,-5-37 0,1 51 0,-1-47 0,0-38 0,0 20 0,1 0 0,0 0 0,0 0 0,1 1 0,0-1 0,1 0 0,0 2 0,0-2 0,8-11 0,-9 16 0,0 0 0,1-1 0,0 1 0,0 0 0,0 1 0,0 0 0,1 0 0,-1-1 0,1 1 0,0 0 0,0 0 0,0 1 0,0-1 0,1 1 0,-1 0 0,1 0 0,-1 1 0,1 0 0,8-2 0,-12 3 0,1 0 0,-1-1 0,1 1 0,0 0 0,-1 1 0,1-1 0,-1 0 0,1 0 0,0 1 0,-1-1 0,1 1 0,-1-1 0,1 1 0,-1 0 0,0-1 0,1 1 0,-1-1 0,0 1 0,1 0 0,-1 0 0,2 3 0,-1-2 0,0 1 0,0 0 0,0 1 0,-1-1 0,1 0 0,-1 0 0,0 0 0,0 0 0,1 7 0,0 4 0,-1 2 0,0-1 0,-3 23 0,2-33 0,59-54 0,-53 46 0,1 0 0,-1 0 0,1 1 0,-1 0 0,1 0 0,0 1 0,0 0 0,0 0 0,0 0 0,0 1 0,8 1 0,-12-1 0,0 0 0,0 1 0,-1-1 0,1 1 0,0 0 0,0 0 0,-1 0 0,1 0 0,0 0 0,-1 1 0,0-1 0,1 1 0,-1-1 0,0 1 0,1 0 0,-1-1 0,0 1 0,-1 0 0,1 1 0,0-1 0,0 0 0,-1 1 0,0-1 0,1 1 0,-1-1 0,0 1 0,0 0 0,1 4 0,0 9-455,-1-2 0,-1 32 0,-1-23-6371</inkml:trace>
  <inkml:trace contextRef="#ctx0" brushRef="#br0" timeOffset="15">256 314 24575,'4'0'0,"6"0"0,7 0 0,3 0 0,4 0 0,3 0 0,0 0 0,0 0 0,1 0 0,-1 0 0,0 0 0,0 0 0,0 0 0,0 0 0,-1 0 0,-4 0-8191</inkml:trace>
  <inkml:trace contextRef="#ctx0" brushRef="#br0" timeOffset="16">203 339 24575,'1'-4'0,"0"1"0,0 0 0,1 0 0,0 0 0,-1 0 0,1 1 0,0-1 0,1 0 0,-1 0 0,0 1 0,1 0 0,-1-1 0,1 1 0,0 0 0,0 0 0,4-2 0,16-13 0,0-7-227,1 1-1,2 1 1,0 0-1,2 3 1,37-21-1,-50 32-6598</inkml:trace>
  <inkml:trace contextRef="#ctx0" brushRef="#br0" timeOffset="17">150 288 24575,'0'4'0,"0"6"0,0 6 0,4-1 0,2 2 0,4-1 0,5-5 0,0 2 0,2-3 0,-2 2 0,1 4 0,-2 2 0,0-1 0,-1 1 0,-3-3-8191</inkml:trace>
  <inkml:trace contextRef="#ctx0" brushRef="#br0" timeOffset="18">1658 415 24575,'4'0'0,"7"0"0,5 0 0,5 0 0,3 0 0,2 0 0,1 0 0,1 0 0,-1 0 0,1 0 0,-1 0 0,0 0 0,-1 0 0,-4 0-8191</inkml:trace>
  <inkml:trace contextRef="#ctx0" brushRef="#br0" timeOffset="19">1843 211 24575,'1'13'0,"1"-1"0,1 0 0,0 1 0,1-2 0,0 2 0,1-2 0,0 1 0,1-1 0,9 13 0,8 4 0,-14-20 0,-2 2 0,1 0 0,-1-1 0,7 14 0,-13-22 0,0 1 0,0 1 0,0-1 0,-1 0 0,1 0 0,-1 0 0,1 0 0,-1 0 0,0 1 0,1-1 0,-1 0 0,0 0 0,-1-1 0,1 2 0,0-1 0,-1 0 0,1 0 0,-1 0 0,0 0 0,1 0 0,-1 1 0,0-1 0,0-1 0,-1 1 0,1 0 0,0-1 0,0 1 0,-3 2 0,-69 54-1365,59-48-5461</inkml:trace>
  <inkml:trace contextRef="#ctx0" brushRef="#br0" timeOffset="20">5257 390 24575,'7'-1'0,"0"0"0,0 0 0,0 0 0,0-1 0,0 0 0,0 0 0,-1 0 0,1-1 0,-1 1 0,1-2 0,10-7 0,0-1 0,0-2 0,23-24 0,-40 38 0,0-1 0,0 1 0,1-1 0,-1 1 0,0 0 0,1 0 0,-1 0 0,0 0 0,1-1 0,-1 1 0,1 0 0,-1 0 0,0-1 0,1 1 0,-1 0 0,1 0 0,-1 0 0,1-1 0,-1 1 0,1 0 0,-1 0 0,0 0 0,1 0 0,-1 0 0,1 0 0,-1 0 0,1 0 0,-1 0 0,1 0 0,-1 0 0,1 0 0,0 1 0,5 14 0,-5 31 0,-1-39 0,-1 22 0,1 0 0,2 0 0,10 55 0,-4-42-1365,-6-21-5461</inkml:trace>
  <inkml:trace contextRef="#ctx0" brushRef="#br0" timeOffset="21">5600 415 24575,'1'0'0,"0"0"0,0 1 0,0-1 0,0 1 0,1 0 0,-1-1 0,0 1 0,0 0 0,0 0 0,0-1 0,-1 1 0,1 0 0,0 0 0,0 0 0,0 0 0,-1 0 0,1 0 0,0 1 0,-1-2 0,1 1 0,-1 0 0,0 0 0,1 1 0,-1-1 0,0 0 0,0 0 0,1 3 0,4 38 0,-5-38 0,-1 15 0,1 5 0,2-23 0,3-15 0,-4 11 0,3-12 0,1 0 0,0 0 0,11-19 0,-15 31 0,0 1 0,1 0 0,-1 0 0,1-1 0,-1 1 0,1 0 0,0 0 0,-1 0 0,1 0 0,0 0 0,1 0 0,-1 0 0,0 0 0,0 1 0,1-1 0,-1 1 0,1 1 0,-1-1 0,1 0 0,0 0 0,-1 0 0,1 0 0,0 1 0,0-1 0,0 1 0,-1 0 0,1 0 0,3 0 0,-4 0 0,-1 1 0,0-1 0,1 1 0,-1-1 0,1 1 0,-1 0 0,0-1 0,0 1 0,1 0 0,-1-1 0,0 1 0,0 0 0,0 0 0,0 0 0,0 0 0,0 0 0,0 0 0,0 1 0,-1-1 0,1 0 0,0 0 0,-1 1 0,1-1 0,-1 1 0,1-1 0,-1 3 0,2 42 0,1-5 0,26-72 0,-23 24 0,1 0 0,0 1 0,0 1 0,1-1 0,0 1 0,0 0 0,0 0 0,1 1 0,-1 1 0,13-5 0,-19 7 0,1 0 0,-1 0 0,1 0 0,-1 1 0,1-1 0,-1 1 0,1-1 0,-1 1 0,1 0 0,-1 0 0,1 0 0,-1 0 0,1 1 0,-1-1 0,1 1 0,-1-1 0,1 1 0,-1 0 0,0 0 0,1 0 0,-1 0 0,0 0 0,0 1 0,0-1 0,0 1 0,0-1 0,0 1 0,0-1 0,0 1 0,-1 0 0,1 0 0,-1 0 0,1 0 0,-1 0 0,0 0 0,0 1 0,0-1 0,0 0 0,0 1 0,-1-1 0,1 0 0,0 3 0,1 9 30,0 0 0,-1 0 0,0 18 0,-1-28-144,0 1 0,-1 0-1,0 0 1,1 1 0,-2-1 0,1-1-1,0 0 1,-1 1 0,0 0 0,0 0-1,-1-1 1,-3 6 0,-7 2-6712</inkml:trace>
  <inkml:trace contextRef="#ctx0" brushRef="#br0" timeOffset="22">4648 543 24575,'530'0'-1365,"-508"0"-5461</inkml:trace>
  <inkml:trace contextRef="#ctx0" brushRef="#br0" timeOffset="23">4622 543 24575,'2'-1'0,"0"1"0,0-1 0,-1 1 0,1 0 0,0-1 0,0 0 0,0 0 0,0 0 0,-1 0 0,1 0 0,0 0 0,-1-1 0,1 1 0,-1-1 0,1 1 0,1-4 0,25-33 0,-14 15 0,-1 10-151,1 0-1,1 1 0,0-1 0,0 3 1,1-1-1,0 0 0,1 3 1,36-16-1,-36 19-6674</inkml:trace>
  <inkml:trace contextRef="#ctx0" brushRef="#br0" timeOffset="24">4648 517 24575,'0'4'0,"4"2"0,2 4 0,-1 5 0,5 0 0,3-4 0,1 3 0,-3 1 0,2 0 0,-1 0 0,-4 2 0,-2 4 0,2-3 0,0 0 0,-2-3-8191</inkml:trace>
  <inkml:trace contextRef="#ctx0" brushRef="#br0" timeOffset="25">6130 492 24575,'4'0'0,"6"0"0,7 0 0,3 0 0,4 0 0,2 0 0,1 0 0,1 0 0,0 0 0,-1 0 0,0 0 0,-4 4 0,-3 2 0,1-1 0,1 0 0,-3-3-8191</inkml:trace>
  <inkml:trace contextRef="#ctx0" brushRef="#br0" timeOffset="26">6421 339 24575,'1'8'0,"1"1"0,0 0 0,1 0 0,0-2 0,0 2 0,1-1 0,0 0 0,1 0 0,7 9 0,-6-7 0,0 1 0,0-2 0,-1 2 0,0 0 0,5 18 0,-9-27 0,-1 1 0,0 0 0,0 1 0,0-1 0,0 0 0,0 0 0,0 0 0,-1 0 0,0 0 0,1 0 0,-1 0 0,0 0 0,-1 0 0,1-1 0,0 1 0,-1 0 0,0 0 0,1-1 0,-1 0 0,0 0 0,0 1 0,-1-1 0,1 0 0,0 0 0,-5 3 0,-9 7-341,2 2 0,-1-1-1,-19 27 1,24-26-6485</inkml:trace>
  <inkml:trace contextRef="#ctx0" brushRef="#br0" timeOffset="27">494 1488 24575,'77'-6'0,"-71"6"0,-1-1 0,1-1 0,-1 0 0,0 0 0,1 0 0,-1 0 0,0-1 0,0 0 0,-1 0 0,1 0 0,6-6 0,-10 8 0,0 0 0,0-1 0,0 1 0,0 0 0,1 0 0,-1 0 0,0 0 0,0 0 0,1 1 0,-1-1 0,1 0 0,-1 1 0,0-1 0,1 0 0,-1 1 0,1 0 0,0-1 0,1 1 0,-2 0 0,0 1 0,0-1 0,0 0 0,-1 1 0,1-1 0,0 1 0,-1-1 0,1 1 0,0-1 0,-1 1 0,1 0 0,-1-1 0,1 1 0,-1 0 0,1 0 0,-1-1 0,0 1 0,1 0 0,-1 0 0,0-1 0,1 1 0,-1 0 0,0 0 0,0 1 0,2 9 0,-1 0 0,0 0 0,-3 23 0,2-19 0,-3 144-1365,3-137-5461</inkml:trace>
  <inkml:trace contextRef="#ctx0" brushRef="#br0" timeOffset="28">732 1871 24575,'0'-4'0,"4"-2"0,2-4 0,4 0 0,1-3 0,3 0 0,3 4 0,-1-3 0,1 3 0,-2-4 0,-4 2-8191</inkml:trace>
  <inkml:trace contextRef="#ctx0" brushRef="#br0" timeOffset="29">997 1591 24575,'187'0'0,"-195"-1"0,0 1 0,1 1 0,-1-1 0,0 1 0,0 0 0,1 0 0,-15 6 0,20-5 0,0-1 0,-1 0 0,1 1 0,0 0 0,0 0 0,-1-1 0,1 1 0,1 1 0,-1-1 0,0-1 0,1 1 0,-1 1 0,1-1 0,-1 1 0,1-1 0,0 1 0,0-1 0,0 1 0,1 0 0,-1-1 0,1 1 0,-1-1 0,1 1 0,0 0 0,0 4 0,0-5 0,0 0 0,0 0 0,0 0 0,0 0 0,1 1 0,-1-2 0,1 1 0,-1 0 0,1 0 0,0 0 0,0 0 0,0 0 0,0 0 0,0 0 0,0 0 0,0-1 0,1 1 0,-1 0 0,1-1 0,-1 1 0,1-1 0,0 0 0,-1 0 0,1 0 0,0 0 0,0 0 0,3 1 0,5 2 0,1-1 0,-1-1 0,1 0 0,19 1 0,27 5 0,-54-8 0,0 1 0,0 0 0,0 0 0,0 0 0,0 0 0,-1 1 0,1-1 0,0 1 0,-1 0 0,1 0 0,-1-1 0,0 2 0,4 3 0,-4-4 0,1 2 0,-1-1 0,-1 1 0,1 0 0,0-1 0,-1 1 0,0 0 0,0-1 0,0 1 0,0 0 0,-1 0 0,0 0 0,0 0 0,0 0 0,0-1 0,0 1 0,-1 0 0,0 0 0,0 0 0,0 0 0,0 0 0,0-1 0,-1 1 0,0-1 0,0 1 0,0-1 0,0 1 0,0-1 0,-1 0 0,0 0 0,1-1 0,-1 1 0,0 0 0,0-1 0,-1 1 0,1-1 0,-1 0 0,1 0 0,-1 0 0,1 0 0,-1-1 0,0 1 0,0-1 0,0 0 0,-7 0 0,-82 0-578,81-2-209,-12 0-6039</inkml:trace>
  <inkml:trace contextRef="#ctx0" brushRef="#br0" timeOffset="30">970 1386 24575,'-3'-108'0,"6"-118"0,8 185 0,2-13 0,-12 53 0,-1-1 0,0 0 0,0 0 0,0-1 0,0 1 0,0 0 0,-1 0 0,1-1 0,-1 1 0,1 0 0,-1 0 0,0 0 0,0 0 0,1 1 0,-2-1 0,1 0 0,0 0 0,0 0 0,-2-2 0,1 3 0,1 0 0,-1 0 0,1 0 0,-1 1 0,1-1 0,-1 0 0,0 1 0,1-1 0,-1 1 0,0-1 0,0 1 0,0 0 0,1-1 0,-1 1 0,0 0 0,0 0 0,0 1 0,1-1 0,-1 0 0,0 1 0,0-1 0,1 1 0,-1-1 0,0 1 0,1 0 0,-4 1 0,-44 30 0,35-22 0,7-7 0,-11 12 0,20-10 0,14-3 0,-8-3 0,0 0 0,0 0 0,0-1 0,0 1 0,-1-2 0,1 1 0,-1-1 0,13-7 0,-11 6 0,-1 1 0,0-1 0,1 1 0,0 0 0,10-1 0,-16 3 0,1 1 0,-1 0 0,1 0 0,-1 0 0,1 1 0,-1-1 0,0 1 0,1 0 0,-1 0 0,0 0 0,1 0 0,-1 1 0,0-1 0,0 1 0,0 0 0,0 0 0,4 4 0,3 2-170,-2 1-1,1 0 0,-1 0 1,-1 1-1,1 0 0,-2 0 1,7 13-1,-5-8-6655</inkml:trace>
  <inkml:trace contextRef="#ctx0" brushRef="#br0" timeOffset="31">71 722 24575,'4'0'0,"6"0"0,2 0-8191</inkml:trace>
  <inkml:trace contextRef="#ctx0" brushRef="#br0" timeOffset="32">2002 773 24575,'0'4'0,"-5"2"0,-1 3 0,1 6 0,-4-1 0,-5-2 0,0 1 0,3 3 0,-2-2 0,1 2 0,4 2 0,2-2-8191</inkml:trace>
  <inkml:trace contextRef="#ctx0" brushRef="#br0" timeOffset="33">203 646 24575,'-5'0'0,"-5"0"0,-6 0 0,-1 4 0,4 5 0,-2 3 0,3 2 0,-2 0 0,-3-4 0,2 2 0,3 2 0,-1 0 0,2 1 0,-1-2 0,0 2 0,3-2-8191</inkml:trace>
  <inkml:trace contextRef="#ctx0" brushRef="#br0" timeOffset="34">2002 2356 24575,'0'4'0,"-5"2"0,-1 3 0,1 7 0,-4-2 0,-1 3 0,-2-4 0,0 3 0,3-3-8191</inkml:trace>
  <inkml:trace contextRef="#ctx0" brushRef="#br0" timeOffset="35">4569 2561 24575,'-5'0'0,"-1"3"0,0 7 0,1 6 0,-2 4 0,-1 3 0,-4-2 0,1-1 0,-2-2 0,0-2 0,-1-2 0,1-5-8191</inkml:trace>
  <inkml:trace contextRef="#ctx0" brushRef="#br0" timeOffset="36">4754 849 24575,'0'4'0,"-5"7"0,-1 4 0,-4 1 0,-1 1 0,-2-1 0,-5-5 0,2 2 0,4 1 0,-2 0 0,3 1 0,-2-2 0,-3-4 0,1 3 0,-1-2 0,1-3-8191</inkml:trace>
  <inkml:trace contextRef="#ctx0" brushRef="#br0" timeOffset="37">6659 773 24575,'-2'0'0,"1"0"0,-1 1 0,1-1 0,-1 1 0,1-1 0,-1 1 0,1 0 0,0 0 0,-1 0 0,1 0 0,0 0 0,0 0 0,0 0 0,0 0 0,-1 0 0,2 0 0,-1 0 0,0 1 0,-1 0 0,-17 34 0,12-21 0,-11 13 0,-1-1 0,-31 34 0,-3 5 0,43-51-1365,3 1-5461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100B-DFC4-4D6C-B083-B155E96C6517}">
  <dimension ref="A1:M71"/>
  <sheetViews>
    <sheetView tabSelected="1" topLeftCell="A2" zoomScaleNormal="100" workbookViewId="0">
      <selection activeCell="H2" sqref="H2"/>
    </sheetView>
  </sheetViews>
  <sheetFormatPr defaultColWidth="10.6640625" defaultRowHeight="14.25" x14ac:dyDescent="0.45"/>
  <cols>
    <col min="1" max="1" width="11.3984375" style="1"/>
  </cols>
  <sheetData>
    <row r="1" spans="1:13" x14ac:dyDescent="0.45">
      <c r="B1" s="2" t="s">
        <v>8</v>
      </c>
      <c r="C1" s="2">
        <v>0.01</v>
      </c>
      <c r="D1" s="1"/>
      <c r="E1" s="2" t="s">
        <v>11</v>
      </c>
      <c r="F1" s="2" t="s">
        <v>12</v>
      </c>
      <c r="G1" s="2" t="s">
        <v>13</v>
      </c>
      <c r="H1" s="2" t="s">
        <v>14</v>
      </c>
      <c r="I1" s="2" t="s">
        <v>12</v>
      </c>
      <c r="J1" s="2" t="s">
        <v>13</v>
      </c>
      <c r="K1" s="12" t="s">
        <v>0</v>
      </c>
      <c r="L1" s="12" t="s">
        <v>21</v>
      </c>
      <c r="M1" s="12" t="s">
        <v>13</v>
      </c>
    </row>
    <row r="2" spans="1:13" x14ac:dyDescent="0.45">
      <c r="B2" s="2" t="s">
        <v>1</v>
      </c>
      <c r="C2" s="4">
        <v>1075206.298</v>
      </c>
      <c r="D2" s="6"/>
      <c r="E2" s="2" t="s">
        <v>15</v>
      </c>
      <c r="F2" s="2">
        <v>0</v>
      </c>
      <c r="G2" s="8">
        <v>2</v>
      </c>
      <c r="H2" s="9">
        <v>3.2597300495257313</v>
      </c>
      <c r="I2" s="8">
        <v>0</v>
      </c>
      <c r="J2" s="8">
        <v>1.9997646740945383</v>
      </c>
      <c r="K2" s="2" t="s">
        <v>23</v>
      </c>
      <c r="L2" s="8">
        <f t="shared" ref="L2:L7" si="0">+$I$8-I2</f>
        <v>8.9601470306091411</v>
      </c>
      <c r="M2" s="8">
        <f t="shared" ref="M2:M5" si="1">+J2-J3</f>
        <v>-2.3532590546171406E-4</v>
      </c>
    </row>
    <row r="3" spans="1:13" x14ac:dyDescent="0.45">
      <c r="B3" s="2" t="s">
        <v>2</v>
      </c>
      <c r="C3" s="4">
        <v>1573308.72</v>
      </c>
      <c r="D3" s="6"/>
      <c r="E3" s="2" t="s">
        <v>16</v>
      </c>
      <c r="F3" s="8">
        <v>0.27865708165990771</v>
      </c>
      <c r="G3" s="8">
        <v>2</v>
      </c>
      <c r="H3" s="9">
        <v>3.3599653754311931</v>
      </c>
      <c r="I3" s="8">
        <v>0.27865708165990771</v>
      </c>
      <c r="J3" s="8">
        <v>2</v>
      </c>
      <c r="K3" s="2" t="s">
        <v>24</v>
      </c>
      <c r="L3" s="8">
        <f t="shared" si="0"/>
        <v>8.681489948949233</v>
      </c>
      <c r="M3" s="8">
        <f t="shared" si="1"/>
        <v>0</v>
      </c>
    </row>
    <row r="4" spans="1:13" x14ac:dyDescent="0.45">
      <c r="B4" s="2" t="s">
        <v>3</v>
      </c>
      <c r="C4" s="3">
        <v>70</v>
      </c>
      <c r="D4" s="5"/>
      <c r="E4" s="2" t="s">
        <v>17</v>
      </c>
      <c r="F4" s="8">
        <v>0.55731416331981543</v>
      </c>
      <c r="G4" s="8">
        <v>2</v>
      </c>
      <c r="H4" s="9">
        <v>3.1999670242201841</v>
      </c>
      <c r="I4" s="8">
        <v>0.55731416331981543</v>
      </c>
      <c r="J4" s="8">
        <v>2</v>
      </c>
      <c r="K4" s="2" t="s">
        <v>25</v>
      </c>
      <c r="L4" s="8">
        <f t="shared" si="0"/>
        <v>8.4028328672893249</v>
      </c>
      <c r="M4" s="8">
        <f t="shared" si="1"/>
        <v>0</v>
      </c>
    </row>
    <row r="5" spans="1:13" x14ac:dyDescent="0.45">
      <c r="B5" s="2" t="s">
        <v>4</v>
      </c>
      <c r="C5" s="3">
        <v>8.4449999999999998E-4</v>
      </c>
      <c r="D5" s="5"/>
      <c r="E5" s="2" t="s">
        <v>18</v>
      </c>
      <c r="F5" s="8">
        <v>3.0652278982589847</v>
      </c>
      <c r="G5" s="8">
        <v>2</v>
      </c>
      <c r="H5" s="9">
        <v>2.7355385547870048</v>
      </c>
      <c r="I5" s="8">
        <v>3.0652278982589847</v>
      </c>
      <c r="J5" s="8">
        <v>2</v>
      </c>
      <c r="K5" s="2" t="s">
        <v>26</v>
      </c>
      <c r="L5" s="8">
        <f t="shared" si="0"/>
        <v>5.8949191323501564</v>
      </c>
      <c r="M5" s="8">
        <f t="shared" si="1"/>
        <v>0</v>
      </c>
    </row>
    <row r="6" spans="1:13" x14ac:dyDescent="0.45">
      <c r="B6" s="1"/>
      <c r="C6" s="5"/>
      <c r="D6" s="5"/>
      <c r="E6" s="2" t="s">
        <v>19</v>
      </c>
      <c r="F6" s="8">
        <v>6.1735762140100645</v>
      </c>
      <c r="G6" s="8">
        <v>2.2397545600000002</v>
      </c>
      <c r="H6" s="9">
        <v>3.7397545600000002</v>
      </c>
      <c r="I6" s="8">
        <v>6.1735762140100645</v>
      </c>
      <c r="J6" s="8">
        <v>2</v>
      </c>
      <c r="K6" s="2" t="s">
        <v>27</v>
      </c>
      <c r="L6" s="13">
        <f>+$I$8-I6+C1</f>
        <v>2.7965708165990764</v>
      </c>
      <c r="M6" s="8">
        <f>+J6-J7</f>
        <v>-0.23975456000000017</v>
      </c>
    </row>
    <row r="7" spans="1:13" x14ac:dyDescent="0.45">
      <c r="C7" s="5"/>
      <c r="D7" s="5"/>
      <c r="E7" s="2" t="s">
        <v>20</v>
      </c>
      <c r="F7" s="8">
        <v>8.9601470306091411</v>
      </c>
      <c r="G7" s="8">
        <v>2.2421078190546182</v>
      </c>
      <c r="H7" s="9">
        <v>3.9671078190546183</v>
      </c>
      <c r="I7" s="8">
        <v>6.1735762140100645</v>
      </c>
      <c r="J7" s="8">
        <v>2.2397545600000002</v>
      </c>
      <c r="K7" s="2" t="s">
        <v>22</v>
      </c>
      <c r="L7" s="8">
        <f t="shared" si="0"/>
        <v>2.7865708165990766</v>
      </c>
      <c r="M7" s="8">
        <f>+J7-J8</f>
        <v>-2.3532590546180288E-3</v>
      </c>
    </row>
    <row r="8" spans="1:13" x14ac:dyDescent="0.45">
      <c r="B8" s="1"/>
      <c r="C8" s="5"/>
      <c r="D8" s="5"/>
      <c r="E8" s="1"/>
      <c r="F8" s="1"/>
      <c r="G8" s="1"/>
      <c r="H8" s="1"/>
      <c r="I8" s="8">
        <v>8.9601470306091411</v>
      </c>
      <c r="J8" s="8">
        <v>2.2421078190546182</v>
      </c>
      <c r="K8" s="2" t="s">
        <v>9</v>
      </c>
      <c r="L8" s="8">
        <f>+$I$8-I8</f>
        <v>0</v>
      </c>
      <c r="M8" s="8">
        <f>+J8-J8</f>
        <v>0</v>
      </c>
    </row>
    <row r="9" spans="1:13" x14ac:dyDescent="0.45">
      <c r="A9" s="1" t="str">
        <f>+K8</f>
        <v>Seccion 1</v>
      </c>
      <c r="B9" t="s">
        <v>5</v>
      </c>
      <c r="C9" t="s">
        <v>10</v>
      </c>
      <c r="E9" s="7" t="s">
        <v>6</v>
      </c>
      <c r="F9" s="7" t="s">
        <v>7</v>
      </c>
    </row>
    <row r="10" spans="1:13" x14ac:dyDescent="0.45">
      <c r="A10" s="1">
        <v>1000</v>
      </c>
      <c r="B10" s="10">
        <f>+L8</f>
        <v>0</v>
      </c>
      <c r="C10" s="10">
        <f>+$C$4+M8-B10*$C$5</f>
        <v>70</v>
      </c>
      <c r="E10" s="2">
        <f>0</f>
        <v>0</v>
      </c>
      <c r="F10" s="8">
        <f>+C10+1.5</f>
        <v>71.5</v>
      </c>
    </row>
    <row r="11" spans="1:13" x14ac:dyDescent="0.45">
      <c r="E11" s="2">
        <f>+E10+1</f>
        <v>1</v>
      </c>
      <c r="F11" s="8">
        <f>+C10+1.5</f>
        <v>71.5</v>
      </c>
    </row>
    <row r="12" spans="1:13" x14ac:dyDescent="0.45">
      <c r="A12" s="11">
        <f>+A10-A18</f>
        <v>2.7865708165991236</v>
      </c>
      <c r="E12" s="2">
        <f>+E11+$C$1</f>
        <v>1.01</v>
      </c>
      <c r="F12" s="8">
        <f>+F11-1.5</f>
        <v>70</v>
      </c>
    </row>
    <row r="13" spans="1:13" x14ac:dyDescent="0.45">
      <c r="E13" s="2">
        <f>+E12+45-$C$1</f>
        <v>46</v>
      </c>
      <c r="F13" s="8">
        <f>+F12</f>
        <v>70</v>
      </c>
    </row>
    <row r="14" spans="1:13" x14ac:dyDescent="0.45">
      <c r="E14" s="2">
        <f>+E13+$C$1</f>
        <v>46.01</v>
      </c>
      <c r="F14" s="8">
        <f>+F13+1.5</f>
        <v>71.5</v>
      </c>
    </row>
    <row r="15" spans="1:13" x14ac:dyDescent="0.45">
      <c r="E15" s="2">
        <f>+E14+1</f>
        <v>47.01</v>
      </c>
      <c r="F15" s="8">
        <f>+F14</f>
        <v>71.5</v>
      </c>
    </row>
    <row r="16" spans="1:13" x14ac:dyDescent="0.45">
      <c r="F16" s="10"/>
    </row>
    <row r="17" spans="1:9" x14ac:dyDescent="0.45">
      <c r="A17" s="1" t="str">
        <f>+K7</f>
        <v>Seccion 2</v>
      </c>
      <c r="B17" t="s">
        <v>5</v>
      </c>
      <c r="C17" t="s">
        <v>10</v>
      </c>
      <c r="E17" s="7" t="s">
        <v>6</v>
      </c>
      <c r="F17" s="22" t="s">
        <v>7</v>
      </c>
    </row>
    <row r="18" spans="1:9" x14ac:dyDescent="0.45">
      <c r="A18" s="11">
        <f>+$A$10-B18</f>
        <v>997.21342918340088</v>
      </c>
      <c r="B18" s="10">
        <f>+L7</f>
        <v>2.7865708165990766</v>
      </c>
      <c r="C18" s="10">
        <f>+C10+M7-B18*$C$5</f>
        <v>69.995293481890769</v>
      </c>
      <c r="E18" s="9">
        <f>0</f>
        <v>0</v>
      </c>
      <c r="F18" s="8">
        <f>+C18+1.5</f>
        <v>71.495293481890769</v>
      </c>
    </row>
    <row r="19" spans="1:9" x14ac:dyDescent="0.45">
      <c r="C19" s="10"/>
      <c r="E19" s="9">
        <f>+E18+1</f>
        <v>1</v>
      </c>
      <c r="F19" s="8">
        <f>+C18+1.5</f>
        <v>71.495293481890769</v>
      </c>
      <c r="H19" s="10">
        <f>+B10</f>
        <v>0</v>
      </c>
      <c r="I19" s="10">
        <f>+C10</f>
        <v>70</v>
      </c>
    </row>
    <row r="20" spans="1:9" x14ac:dyDescent="0.45">
      <c r="A20" s="11">
        <f>+A18-A26</f>
        <v>9.9999999999909051E-3</v>
      </c>
      <c r="E20" s="9">
        <f>+E19+$C$1</f>
        <v>1.01</v>
      </c>
      <c r="F20" s="8">
        <f>+F19-1.5</f>
        <v>69.995293481890769</v>
      </c>
      <c r="H20" s="10">
        <f>+B18</f>
        <v>2.7865708165990766</v>
      </c>
      <c r="I20" s="10">
        <f>+C18</f>
        <v>69.995293481890769</v>
      </c>
    </row>
    <row r="21" spans="1:9" x14ac:dyDescent="0.45">
      <c r="E21" s="9">
        <f>+E20+45-$C$1</f>
        <v>46</v>
      </c>
      <c r="F21" s="8">
        <f>+F20</f>
        <v>69.995293481890769</v>
      </c>
      <c r="H21" s="10">
        <f>+B26</f>
        <v>2.7965708165990764</v>
      </c>
      <c r="I21" s="10">
        <f>+C26</f>
        <v>69.755530476890769</v>
      </c>
    </row>
    <row r="22" spans="1:9" x14ac:dyDescent="0.45">
      <c r="E22" s="9">
        <f>+E21+$C$1</f>
        <v>46.01</v>
      </c>
      <c r="F22" s="8">
        <f>+F21+1.5</f>
        <v>71.495293481890769</v>
      </c>
      <c r="H22" s="10">
        <f>+B34</f>
        <v>5.8949191323501564</v>
      </c>
      <c r="I22" s="10">
        <f>+C34</f>
        <v>69.752913921738113</v>
      </c>
    </row>
    <row r="23" spans="1:9" x14ac:dyDescent="0.45">
      <c r="E23" s="9">
        <f>+E22+1</f>
        <v>47.01</v>
      </c>
      <c r="F23" s="8">
        <f>+F22</f>
        <v>71.495293481890769</v>
      </c>
      <c r="H23" s="10">
        <f>+B42</f>
        <v>8.4028328672893249</v>
      </c>
      <c r="I23" s="10">
        <f>+C42</f>
        <v>69.750795988588962</v>
      </c>
    </row>
    <row r="24" spans="1:9" x14ac:dyDescent="0.45">
      <c r="F24" s="10"/>
      <c r="H24" s="10">
        <f>+B50</f>
        <v>8.681489948949233</v>
      </c>
      <c r="I24" s="10">
        <f>+C50</f>
        <v>69.750560662683498</v>
      </c>
    </row>
    <row r="25" spans="1:9" x14ac:dyDescent="0.45">
      <c r="A25" s="1" t="str">
        <f>+K6</f>
        <v>Seccion 3</v>
      </c>
      <c r="B25" t="s">
        <v>5</v>
      </c>
      <c r="C25" t="s">
        <v>10</v>
      </c>
      <c r="E25" s="7" t="s">
        <v>6</v>
      </c>
      <c r="F25" s="22" t="s">
        <v>7</v>
      </c>
      <c r="H25" s="10">
        <f>+B58</f>
        <v>8.9601470306091411</v>
      </c>
      <c r="I25" s="10">
        <f>+C58</f>
        <v>69.750090010872569</v>
      </c>
    </row>
    <row r="26" spans="1:9" x14ac:dyDescent="0.45">
      <c r="A26" s="11">
        <f>+$A$10-B26</f>
        <v>997.20342918340089</v>
      </c>
      <c r="B26" s="10">
        <f>+L6</f>
        <v>2.7965708165990764</v>
      </c>
      <c r="C26" s="10">
        <f>+C18+M6-(B26-B18)*$C$5</f>
        <v>69.755530476890769</v>
      </c>
      <c r="E26" s="2">
        <f>0</f>
        <v>0</v>
      </c>
      <c r="F26" s="8">
        <f>+C26+1.5</f>
        <v>71.255530476890769</v>
      </c>
    </row>
    <row r="27" spans="1:9" x14ac:dyDescent="0.45">
      <c r="E27" s="2">
        <f>+E26+1</f>
        <v>1</v>
      </c>
      <c r="F27" s="8">
        <f>+C26+1.5</f>
        <v>71.255530476890769</v>
      </c>
    </row>
    <row r="28" spans="1:9" x14ac:dyDescent="0.45">
      <c r="A28" s="11">
        <f>+A26-A34</f>
        <v>3.0983483157510818</v>
      </c>
      <c r="E28" s="2">
        <f>+E27+$C$1</f>
        <v>1.01</v>
      </c>
      <c r="F28" s="8">
        <f>+F27-1.5</f>
        <v>69.755530476890769</v>
      </c>
    </row>
    <row r="29" spans="1:9" x14ac:dyDescent="0.45">
      <c r="E29" s="2">
        <f>+E28+45-$C$1</f>
        <v>46</v>
      </c>
      <c r="F29" s="8">
        <f>+F28</f>
        <v>69.755530476890769</v>
      </c>
    </row>
    <row r="30" spans="1:9" x14ac:dyDescent="0.45">
      <c r="E30" s="2">
        <f>+E29+$C$1</f>
        <v>46.01</v>
      </c>
      <c r="F30" s="8">
        <f>+F29+1.5</f>
        <v>71.255530476890769</v>
      </c>
    </row>
    <row r="31" spans="1:9" x14ac:dyDescent="0.45">
      <c r="E31" s="2">
        <f>+E30+1</f>
        <v>47.01</v>
      </c>
      <c r="F31" s="8">
        <f>+F30</f>
        <v>71.255530476890769</v>
      </c>
    </row>
    <row r="32" spans="1:9" x14ac:dyDescent="0.45">
      <c r="F32" s="10"/>
    </row>
    <row r="33" spans="1:6" x14ac:dyDescent="0.45">
      <c r="A33" s="1" t="str">
        <f>+K5</f>
        <v>Seccion 4</v>
      </c>
      <c r="B33" t="s">
        <v>5</v>
      </c>
      <c r="C33" t="s">
        <v>10</v>
      </c>
      <c r="E33" s="7" t="s">
        <v>6</v>
      </c>
      <c r="F33" s="22" t="s">
        <v>7</v>
      </c>
    </row>
    <row r="34" spans="1:6" x14ac:dyDescent="0.45">
      <c r="A34" s="11">
        <f>+$A$10-B34</f>
        <v>994.1050808676498</v>
      </c>
      <c r="B34" s="10">
        <f>+L5</f>
        <v>5.8949191323501564</v>
      </c>
      <c r="C34" s="10">
        <f>+C26+M5-(B34-B26)*C5</f>
        <v>69.752913921738113</v>
      </c>
      <c r="E34" s="2">
        <f>0</f>
        <v>0</v>
      </c>
      <c r="F34" s="8">
        <f>+C34+1.5</f>
        <v>71.252913921738113</v>
      </c>
    </row>
    <row r="35" spans="1:6" x14ac:dyDescent="0.45">
      <c r="E35" s="2">
        <f>+E34+1</f>
        <v>1</v>
      </c>
      <c r="F35" s="8">
        <f>+C34+1.5</f>
        <v>71.252913921738113</v>
      </c>
    </row>
    <row r="36" spans="1:6" x14ac:dyDescent="0.45">
      <c r="A36" s="11">
        <f>+A34-A42</f>
        <v>2.5079137349391658</v>
      </c>
      <c r="E36" s="2">
        <f>+E35+$C$1</f>
        <v>1.01</v>
      </c>
      <c r="F36" s="8">
        <f>+F35-1.5</f>
        <v>69.752913921738113</v>
      </c>
    </row>
    <row r="37" spans="1:6" x14ac:dyDescent="0.45">
      <c r="E37" s="2">
        <f>+E36+45-$C$1</f>
        <v>46</v>
      </c>
      <c r="F37" s="8">
        <f>+F36</f>
        <v>69.752913921738113</v>
      </c>
    </row>
    <row r="38" spans="1:6" x14ac:dyDescent="0.45">
      <c r="E38" s="2">
        <f>+E37+$C$1</f>
        <v>46.01</v>
      </c>
      <c r="F38" s="8">
        <f>+F37+1.5</f>
        <v>71.252913921738113</v>
      </c>
    </row>
    <row r="39" spans="1:6" x14ac:dyDescent="0.45">
      <c r="E39" s="2">
        <f>+E38+1</f>
        <v>47.01</v>
      </c>
      <c r="F39" s="8">
        <f>+F38</f>
        <v>71.252913921738113</v>
      </c>
    </row>
    <row r="40" spans="1:6" x14ac:dyDescent="0.45">
      <c r="F40" s="10"/>
    </row>
    <row r="41" spans="1:6" x14ac:dyDescent="0.45">
      <c r="A41" s="1" t="str">
        <f>+K4</f>
        <v>Seccion 5</v>
      </c>
      <c r="B41" t="s">
        <v>5</v>
      </c>
      <c r="C41" t="s">
        <v>10</v>
      </c>
      <c r="E41" s="7" t="s">
        <v>6</v>
      </c>
      <c r="F41" s="22" t="s">
        <v>7</v>
      </c>
    </row>
    <row r="42" spans="1:6" x14ac:dyDescent="0.45">
      <c r="A42" s="11">
        <f>+$A$10-B42</f>
        <v>991.59716713271064</v>
      </c>
      <c r="B42" s="10">
        <f>+L4</f>
        <v>8.4028328672893249</v>
      </c>
      <c r="C42" s="10">
        <f>+C34+M4-(B42-B34)*$C$5</f>
        <v>69.750795988588962</v>
      </c>
      <c r="E42" s="8">
        <f>0</f>
        <v>0</v>
      </c>
      <c r="F42" s="8">
        <f>+C42+1.5</f>
        <v>71.250795988588962</v>
      </c>
    </row>
    <row r="43" spans="1:6" x14ac:dyDescent="0.45">
      <c r="E43" s="8">
        <f>+E42+1</f>
        <v>1</v>
      </c>
      <c r="F43" s="8">
        <f>+C42+1.5</f>
        <v>71.250795988588962</v>
      </c>
    </row>
    <row r="44" spans="1:6" x14ac:dyDescent="0.45">
      <c r="A44" s="11">
        <f>+A42-A50</f>
        <v>0.27865708165984415</v>
      </c>
      <c r="E44" s="8">
        <f>+E43+$C$1</f>
        <v>1.01</v>
      </c>
      <c r="F44" s="8">
        <f>+F43-1.5</f>
        <v>69.750795988588962</v>
      </c>
    </row>
    <row r="45" spans="1:6" x14ac:dyDescent="0.45">
      <c r="E45" s="8">
        <f>+E44+45-$C$1</f>
        <v>46</v>
      </c>
      <c r="F45" s="8">
        <f>+F44</f>
        <v>69.750795988588962</v>
      </c>
    </row>
    <row r="46" spans="1:6" x14ac:dyDescent="0.45">
      <c r="E46" s="8">
        <f>+E45+$C$1</f>
        <v>46.01</v>
      </c>
      <c r="F46" s="8">
        <f>+F45+1.5</f>
        <v>71.250795988588962</v>
      </c>
    </row>
    <row r="47" spans="1:6" x14ac:dyDescent="0.45">
      <c r="E47" s="8">
        <f>+E46+1</f>
        <v>47.01</v>
      </c>
      <c r="F47" s="8">
        <f>+F46</f>
        <v>71.250795988588962</v>
      </c>
    </row>
    <row r="48" spans="1:6" x14ac:dyDescent="0.45">
      <c r="F48" s="10"/>
    </row>
    <row r="49" spans="1:6" x14ac:dyDescent="0.45">
      <c r="A49" s="1" t="str">
        <f>+K3</f>
        <v>Seccion 6</v>
      </c>
      <c r="B49" t="s">
        <v>5</v>
      </c>
      <c r="C49" t="s">
        <v>10</v>
      </c>
      <c r="E49" s="7" t="s">
        <v>6</v>
      </c>
      <c r="F49" s="22" t="s">
        <v>7</v>
      </c>
    </row>
    <row r="50" spans="1:6" x14ac:dyDescent="0.45">
      <c r="A50" s="11">
        <f>+$A$10-B50</f>
        <v>991.31851005105079</v>
      </c>
      <c r="B50" s="10">
        <f>+L3</f>
        <v>8.681489948949233</v>
      </c>
      <c r="C50" s="10">
        <f>+C42+M3-(B50-B42)*$C$5</f>
        <v>69.750560662683498</v>
      </c>
      <c r="E50" s="8">
        <f>0</f>
        <v>0</v>
      </c>
      <c r="F50" s="8">
        <f>+C50+1.5</f>
        <v>71.250560662683498</v>
      </c>
    </row>
    <row r="51" spans="1:6" x14ac:dyDescent="0.45">
      <c r="E51" s="8">
        <f>+E50+1</f>
        <v>1</v>
      </c>
      <c r="F51" s="8">
        <f>+C50+1.5</f>
        <v>71.250560662683498</v>
      </c>
    </row>
    <row r="52" spans="1:6" x14ac:dyDescent="0.45">
      <c r="A52" s="11">
        <f>+A50-A58</f>
        <v>0.27865708165995784</v>
      </c>
      <c r="E52" s="8">
        <f>+E51+$C$1</f>
        <v>1.01</v>
      </c>
      <c r="F52" s="8">
        <f>+F51-1.5</f>
        <v>69.750560662683498</v>
      </c>
    </row>
    <row r="53" spans="1:6" x14ac:dyDescent="0.45">
      <c r="E53" s="8">
        <f>+E52+45-$C$1</f>
        <v>46</v>
      </c>
      <c r="F53" s="8">
        <f>+F52</f>
        <v>69.750560662683498</v>
      </c>
    </row>
    <row r="54" spans="1:6" x14ac:dyDescent="0.45">
      <c r="E54" s="8">
        <f>+E53+$C$1</f>
        <v>46.01</v>
      </c>
      <c r="F54" s="8">
        <f>+F53+1.5</f>
        <v>71.250560662683498</v>
      </c>
    </row>
    <row r="55" spans="1:6" x14ac:dyDescent="0.45">
      <c r="E55" s="8">
        <f>+E54+1</f>
        <v>47.01</v>
      </c>
      <c r="F55" s="8">
        <f>+F54</f>
        <v>71.250560662683498</v>
      </c>
    </row>
    <row r="56" spans="1:6" x14ac:dyDescent="0.45">
      <c r="F56" s="10"/>
    </row>
    <row r="57" spans="1:6" x14ac:dyDescent="0.45">
      <c r="A57" s="1" t="str">
        <f>+K2</f>
        <v>Seccion 7</v>
      </c>
      <c r="B57" t="s">
        <v>5</v>
      </c>
      <c r="C57" t="s">
        <v>10</v>
      </c>
      <c r="E57" s="7" t="s">
        <v>6</v>
      </c>
      <c r="F57" s="22" t="s">
        <v>7</v>
      </c>
    </row>
    <row r="58" spans="1:6" x14ac:dyDescent="0.45">
      <c r="A58" s="11">
        <f>+$A$10-B58</f>
        <v>991.03985296939084</v>
      </c>
      <c r="B58" s="10">
        <f>+L2</f>
        <v>8.9601470306091411</v>
      </c>
      <c r="C58" s="10">
        <f>+C50+M2-(B58-B50)*$C$5</f>
        <v>69.750090010872569</v>
      </c>
      <c r="E58" s="8">
        <f>0</f>
        <v>0</v>
      </c>
      <c r="F58" s="8">
        <f>+C58+1.5</f>
        <v>71.250090010872569</v>
      </c>
    </row>
    <row r="59" spans="1:6" x14ac:dyDescent="0.45">
      <c r="E59" s="8">
        <f>+E58+1</f>
        <v>1</v>
      </c>
      <c r="F59" s="8">
        <f>+C58+1.5</f>
        <v>71.250090010872569</v>
      </c>
    </row>
    <row r="60" spans="1:6" x14ac:dyDescent="0.45">
      <c r="A60" s="11">
        <f>+A58-A66</f>
        <v>991.03985296939084</v>
      </c>
      <c r="E60" s="8">
        <f>+E59+$C$1</f>
        <v>1.01</v>
      </c>
      <c r="F60" s="8">
        <f>+F59-1.5</f>
        <v>69.750090010872569</v>
      </c>
    </row>
    <row r="61" spans="1:6" x14ac:dyDescent="0.45">
      <c r="E61" s="8">
        <f>+E60+45-$C$1</f>
        <v>46</v>
      </c>
      <c r="F61" s="8">
        <f>+F60</f>
        <v>69.750090010872569</v>
      </c>
    </row>
    <row r="62" spans="1:6" x14ac:dyDescent="0.45">
      <c r="E62" s="8">
        <f>+E61+$C$1</f>
        <v>46.01</v>
      </c>
      <c r="F62" s="8">
        <f>+F61+1.5</f>
        <v>71.250090010872569</v>
      </c>
    </row>
    <row r="63" spans="1:6" x14ac:dyDescent="0.45">
      <c r="E63" s="8">
        <f>+E62+1</f>
        <v>47.01</v>
      </c>
      <c r="F63" s="8">
        <f>+F62</f>
        <v>71.250090010872569</v>
      </c>
    </row>
    <row r="64" spans="1:6" x14ac:dyDescent="0.45">
      <c r="F64" s="10"/>
    </row>
    <row r="65" spans="1:6" x14ac:dyDescent="0.45">
      <c r="A65" s="14" t="s">
        <v>29</v>
      </c>
      <c r="B65" s="15" t="s">
        <v>5</v>
      </c>
      <c r="C65" s="15" t="s">
        <v>10</v>
      </c>
      <c r="D65" s="15"/>
      <c r="E65" s="16" t="s">
        <v>6</v>
      </c>
      <c r="F65" s="23" t="s">
        <v>7</v>
      </c>
    </row>
    <row r="66" spans="1:6" x14ac:dyDescent="0.45">
      <c r="A66" s="21">
        <v>0</v>
      </c>
      <c r="B66" s="18">
        <v>1000</v>
      </c>
      <c r="C66" s="18">
        <f>C58-(A58)*$C$5</f>
        <v>68.913156855039915</v>
      </c>
      <c r="D66" s="15"/>
      <c r="E66" s="19">
        <f>0</f>
        <v>0</v>
      </c>
      <c r="F66" s="20">
        <f>+C66+1.5</f>
        <v>70.413156855039915</v>
      </c>
    </row>
    <row r="67" spans="1:6" x14ac:dyDescent="0.45">
      <c r="A67" s="14"/>
      <c r="B67" s="15"/>
      <c r="C67" s="15"/>
      <c r="D67" s="15"/>
      <c r="E67" s="19">
        <f>+E66+1</f>
        <v>1</v>
      </c>
      <c r="F67" s="20">
        <f>+C66+1.5</f>
        <v>70.413156855039915</v>
      </c>
    </row>
    <row r="68" spans="1:6" x14ac:dyDescent="0.45">
      <c r="A68" s="11">
        <f>+A66-A74</f>
        <v>0</v>
      </c>
      <c r="B68" s="15"/>
      <c r="C68" s="15"/>
      <c r="D68" s="15"/>
      <c r="E68" s="19">
        <f>+E67+$C$1</f>
        <v>1.01</v>
      </c>
      <c r="F68" s="20">
        <f>+F67-1.5</f>
        <v>68.913156855039915</v>
      </c>
    </row>
    <row r="69" spans="1:6" x14ac:dyDescent="0.45">
      <c r="A69" s="14"/>
      <c r="B69" s="15"/>
      <c r="C69" s="15"/>
      <c r="D69" s="15"/>
      <c r="E69" s="19">
        <f>+E68+45-$C$1</f>
        <v>46</v>
      </c>
      <c r="F69" s="20">
        <f>+F68</f>
        <v>68.913156855039915</v>
      </c>
    </row>
    <row r="70" spans="1:6" x14ac:dyDescent="0.45">
      <c r="A70" s="14"/>
      <c r="B70" s="15"/>
      <c r="C70" s="15"/>
      <c r="D70" s="15"/>
      <c r="E70" s="19">
        <f>+E69+$C$1</f>
        <v>46.01</v>
      </c>
      <c r="F70" s="20">
        <f>+F69+1.5</f>
        <v>70.413156855039915</v>
      </c>
    </row>
    <row r="71" spans="1:6" x14ac:dyDescent="0.45">
      <c r="A71" s="14"/>
      <c r="B71" s="15"/>
      <c r="C71" s="15"/>
      <c r="D71" s="15"/>
      <c r="E71" s="19">
        <f>+E70+1</f>
        <v>47.01</v>
      </c>
      <c r="F71" s="20">
        <f>+F70</f>
        <v>70.413156855039915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C17C-DCE7-4A33-B2F9-E9C477396F2A}">
  <dimension ref="A1:M79"/>
  <sheetViews>
    <sheetView zoomScale="70" zoomScaleNormal="70" workbookViewId="0">
      <selection activeCell="S42" sqref="S42"/>
    </sheetView>
  </sheetViews>
  <sheetFormatPr defaultColWidth="10.6640625" defaultRowHeight="14.25" x14ac:dyDescent="0.45"/>
  <cols>
    <col min="1" max="1" width="11.3984375" style="1"/>
  </cols>
  <sheetData>
    <row r="1" spans="1:13" x14ac:dyDescent="0.45">
      <c r="B1" s="2" t="s">
        <v>8</v>
      </c>
      <c r="C1" s="2">
        <v>0.01</v>
      </c>
      <c r="D1" s="1"/>
      <c r="E1" s="2" t="s">
        <v>11</v>
      </c>
      <c r="F1" s="2" t="s">
        <v>12</v>
      </c>
      <c r="G1" s="2" t="s">
        <v>13</v>
      </c>
      <c r="H1" s="2" t="s">
        <v>14</v>
      </c>
      <c r="I1" s="2" t="s">
        <v>12</v>
      </c>
      <c r="J1" s="2" t="s">
        <v>13</v>
      </c>
      <c r="K1" s="12" t="s">
        <v>0</v>
      </c>
      <c r="L1" s="12" t="s">
        <v>21</v>
      </c>
      <c r="M1" s="12" t="s">
        <v>13</v>
      </c>
    </row>
    <row r="2" spans="1:13" x14ac:dyDescent="0.45">
      <c r="B2" s="2" t="s">
        <v>1</v>
      </c>
      <c r="C2" s="4">
        <v>1075206.298</v>
      </c>
      <c r="D2" s="6"/>
      <c r="E2" s="2" t="s">
        <v>15</v>
      </c>
      <c r="F2" s="2">
        <v>0</v>
      </c>
      <c r="G2" s="8">
        <v>2</v>
      </c>
      <c r="H2" s="9">
        <v>3.2289087806257717</v>
      </c>
      <c r="I2" s="8">
        <v>0</v>
      </c>
      <c r="J2" s="8">
        <v>2.0666191235547715</v>
      </c>
      <c r="K2" s="2" t="s">
        <v>28</v>
      </c>
      <c r="L2" s="8">
        <f t="shared" ref="L2:L8" si="0">+$I$9-I2</f>
        <v>10.868405246852697</v>
      </c>
      <c r="M2" s="8">
        <f t="shared" ref="M2:M7" si="1">+J2-J3</f>
        <v>-4.8307201215624929E-4</v>
      </c>
    </row>
    <row r="3" spans="1:13" x14ac:dyDescent="0.45">
      <c r="B3" s="2" t="s">
        <v>2</v>
      </c>
      <c r="C3" s="4">
        <v>1573308.72</v>
      </c>
      <c r="D3" s="6"/>
      <c r="E3" s="2" t="s">
        <v>17</v>
      </c>
      <c r="F3" s="8">
        <v>0.85803199317258139</v>
      </c>
      <c r="G3" s="8">
        <v>2</v>
      </c>
      <c r="H3" s="9">
        <v>3.1708493834646929</v>
      </c>
      <c r="I3" s="8">
        <v>0.57202132878172096</v>
      </c>
      <c r="J3" s="8">
        <v>2.0671021955669278</v>
      </c>
      <c r="K3" s="2" t="s">
        <v>23</v>
      </c>
      <c r="L3" s="13">
        <f>+$I$9-I3+$C$1</f>
        <v>10.306383918070976</v>
      </c>
      <c r="M3" s="8">
        <f t="shared" si="1"/>
        <v>6.7102195566927758E-2</v>
      </c>
    </row>
    <row r="4" spans="1:13" x14ac:dyDescent="0.45">
      <c r="B4" s="2" t="s">
        <v>3</v>
      </c>
      <c r="C4" s="3">
        <v>70</v>
      </c>
      <c r="D4" s="5"/>
      <c r="E4" s="2" t="s">
        <v>16</v>
      </c>
      <c r="F4" s="8">
        <v>1.7160639863451628</v>
      </c>
      <c r="G4" s="8">
        <v>2</v>
      </c>
      <c r="H4" s="9">
        <v>3.0537644451182238</v>
      </c>
      <c r="I4" s="8">
        <v>0.57202132878172096</v>
      </c>
      <c r="J4" s="8">
        <v>2</v>
      </c>
      <c r="K4" s="2" t="s">
        <v>24</v>
      </c>
      <c r="L4" s="8">
        <f t="shared" si="0"/>
        <v>10.296383918070976</v>
      </c>
      <c r="M4" s="8">
        <f t="shared" si="1"/>
        <v>0</v>
      </c>
    </row>
    <row r="5" spans="1:13" x14ac:dyDescent="0.45">
      <c r="B5" s="2" t="s">
        <v>4</v>
      </c>
      <c r="C5" s="3">
        <v>8.4449999999999998E-4</v>
      </c>
      <c r="D5" s="5"/>
      <c r="E5" s="2" t="s">
        <v>18</v>
      </c>
      <c r="F5" s="8">
        <v>4.3279289584112925</v>
      </c>
      <c r="G5" s="8">
        <v>2</v>
      </c>
      <c r="H5" s="9">
        <v>2.7355385547870048</v>
      </c>
      <c r="I5" s="8">
        <v>1.7160639863451628</v>
      </c>
      <c r="J5" s="8">
        <v>2</v>
      </c>
      <c r="K5" s="2" t="s">
        <v>25</v>
      </c>
      <c r="L5" s="8">
        <f t="shared" si="0"/>
        <v>9.1523412605075354</v>
      </c>
      <c r="M5" s="8">
        <f t="shared" si="1"/>
        <v>0</v>
      </c>
    </row>
    <row r="6" spans="1:13" x14ac:dyDescent="0.45">
      <c r="B6" s="1"/>
      <c r="C6" s="5"/>
      <c r="D6" s="5"/>
      <c r="E6" s="2" t="s">
        <v>19</v>
      </c>
      <c r="F6" s="8">
        <v>7.4362772741623724</v>
      </c>
      <c r="G6" s="8">
        <v>2.2397545600000002</v>
      </c>
      <c r="H6" s="9">
        <v>3.7397545600000002</v>
      </c>
      <c r="I6" s="8">
        <v>4.3279289584112925</v>
      </c>
      <c r="J6" s="8">
        <v>2</v>
      </c>
      <c r="K6" s="2" t="s">
        <v>26</v>
      </c>
      <c r="L6" s="8">
        <f t="shared" si="0"/>
        <v>6.5404762884414049</v>
      </c>
      <c r="M6" s="8">
        <f t="shared" si="1"/>
        <v>0</v>
      </c>
    </row>
    <row r="7" spans="1:13" x14ac:dyDescent="0.45">
      <c r="C7" s="5"/>
      <c r="D7" s="5"/>
      <c r="E7" s="2" t="s">
        <v>20</v>
      </c>
      <c r="F7" s="8">
        <v>10.868405246852697</v>
      </c>
      <c r="G7" s="8">
        <v>2.2426529920729372</v>
      </c>
      <c r="H7" s="9">
        <v>3.9676529920729369</v>
      </c>
      <c r="I7" s="8">
        <v>7.4362772741623724</v>
      </c>
      <c r="J7" s="8">
        <v>2</v>
      </c>
      <c r="K7" s="2" t="s">
        <v>27</v>
      </c>
      <c r="L7" s="13">
        <f>+$I$9-I7+$C$1</f>
        <v>3.4421279726903249</v>
      </c>
      <c r="M7" s="8">
        <f t="shared" si="1"/>
        <v>-0.23975456000000017</v>
      </c>
    </row>
    <row r="8" spans="1:13" x14ac:dyDescent="0.45">
      <c r="B8" s="1"/>
      <c r="C8" s="5"/>
      <c r="D8" s="5"/>
      <c r="E8" s="1"/>
      <c r="F8" s="1"/>
      <c r="G8" s="1"/>
      <c r="H8" s="1"/>
      <c r="I8" s="8">
        <v>7.4362772741623724</v>
      </c>
      <c r="J8" s="8">
        <v>2.2397545600000002</v>
      </c>
      <c r="K8" s="2" t="s">
        <v>22</v>
      </c>
      <c r="L8" s="8">
        <f t="shared" si="0"/>
        <v>3.4321279726903251</v>
      </c>
      <c r="M8" s="8">
        <f>+J8-J9</f>
        <v>-2.8984320729370516E-3</v>
      </c>
    </row>
    <row r="9" spans="1:13" x14ac:dyDescent="0.45">
      <c r="A9" s="1" t="str">
        <f>+K9</f>
        <v>Seccion 1</v>
      </c>
      <c r="B9" t="s">
        <v>5</v>
      </c>
      <c r="C9" t="s">
        <v>10</v>
      </c>
      <c r="E9" s="7" t="s">
        <v>6</v>
      </c>
      <c r="F9" s="7" t="s">
        <v>7</v>
      </c>
      <c r="I9" s="8">
        <v>10.868405246852697</v>
      </c>
      <c r="J9" s="8">
        <v>2.2426529920729372</v>
      </c>
      <c r="K9" s="2" t="s">
        <v>9</v>
      </c>
      <c r="L9" s="8">
        <f>+$I$9-I9</f>
        <v>0</v>
      </c>
      <c r="M9" s="8">
        <f>+J9-J9</f>
        <v>0</v>
      </c>
    </row>
    <row r="10" spans="1:13" x14ac:dyDescent="0.45">
      <c r="A10" s="1">
        <v>1000</v>
      </c>
      <c r="B10" s="10">
        <f>+L9</f>
        <v>0</v>
      </c>
      <c r="C10" s="10">
        <f>+$C$4+M9-B10*$C$5</f>
        <v>70</v>
      </c>
      <c r="E10" s="2">
        <f>0</f>
        <v>0</v>
      </c>
      <c r="F10" s="8">
        <f>+C10+1.5</f>
        <v>71.5</v>
      </c>
    </row>
    <row r="11" spans="1:13" x14ac:dyDescent="0.45">
      <c r="E11" s="2">
        <f>+E10+1</f>
        <v>1</v>
      </c>
      <c r="F11" s="8">
        <f>+C10+1.5</f>
        <v>71.5</v>
      </c>
    </row>
    <row r="12" spans="1:13" x14ac:dyDescent="0.45">
      <c r="A12" s="11">
        <f>+A10-A18</f>
        <v>3.4321279726902958</v>
      </c>
      <c r="E12" s="2">
        <f>+E11+$C$1</f>
        <v>1.01</v>
      </c>
      <c r="F12" s="8">
        <f>+F11-1.5</f>
        <v>70</v>
      </c>
    </row>
    <row r="13" spans="1:13" x14ac:dyDescent="0.45">
      <c r="E13" s="2">
        <f>+E12+45-$C$1</f>
        <v>46</v>
      </c>
      <c r="F13" s="2">
        <f>+F12</f>
        <v>70</v>
      </c>
    </row>
    <row r="14" spans="1:13" x14ac:dyDescent="0.45">
      <c r="E14" s="2">
        <f>+E13+$C$1</f>
        <v>46.01</v>
      </c>
      <c r="F14" s="2">
        <f>+F13+1.5</f>
        <v>71.5</v>
      </c>
    </row>
    <row r="15" spans="1:13" x14ac:dyDescent="0.45">
      <c r="E15" s="2">
        <f>+E14+1</f>
        <v>47.01</v>
      </c>
      <c r="F15" s="2">
        <f>+F14</f>
        <v>71.5</v>
      </c>
    </row>
    <row r="17" spans="1:9" x14ac:dyDescent="0.45">
      <c r="A17" s="1" t="str">
        <f>+K8</f>
        <v>Seccion 2</v>
      </c>
      <c r="B17" t="s">
        <v>5</v>
      </c>
      <c r="C17" t="s">
        <v>10</v>
      </c>
      <c r="E17" s="7" t="s">
        <v>6</v>
      </c>
      <c r="F17" s="7" t="s">
        <v>7</v>
      </c>
    </row>
    <row r="18" spans="1:9" x14ac:dyDescent="0.45">
      <c r="A18" s="11">
        <f>+$A$10-B18</f>
        <v>996.5678720273097</v>
      </c>
      <c r="B18" s="10">
        <f>+L8</f>
        <v>3.4321279726903251</v>
      </c>
      <c r="C18" s="10">
        <f>+C10+M8-(B18-B10)*$C$5</f>
        <v>69.994203135854121</v>
      </c>
      <c r="E18" s="8">
        <f>0</f>
        <v>0</v>
      </c>
      <c r="F18" s="8">
        <f>+C18+1.5</f>
        <v>71.494203135854121</v>
      </c>
    </row>
    <row r="19" spans="1:9" x14ac:dyDescent="0.45">
      <c r="E19" s="8">
        <f>+E18+1</f>
        <v>1</v>
      </c>
      <c r="F19" s="8">
        <f>+C18+1.5</f>
        <v>71.494203135854121</v>
      </c>
      <c r="H19" s="10">
        <f>+B10</f>
        <v>0</v>
      </c>
      <c r="I19" s="10">
        <f>+C10</f>
        <v>70</v>
      </c>
    </row>
    <row r="20" spans="1:9" x14ac:dyDescent="0.45">
      <c r="A20" s="11">
        <f>+A18-A26</f>
        <v>9.9999999999909051E-3</v>
      </c>
      <c r="E20" s="8">
        <f>+E19+$C$1</f>
        <v>1.01</v>
      </c>
      <c r="F20" s="8">
        <f>+F19-1.5</f>
        <v>69.994203135854121</v>
      </c>
      <c r="H20" s="10">
        <f>+B18</f>
        <v>3.4321279726903251</v>
      </c>
      <c r="I20" s="10">
        <f>+C18</f>
        <v>69.994203135854121</v>
      </c>
    </row>
    <row r="21" spans="1:9" x14ac:dyDescent="0.45">
      <c r="E21" s="8">
        <f>+E20+45-$C$1</f>
        <v>46</v>
      </c>
      <c r="F21" s="8">
        <f>+F20</f>
        <v>69.994203135854121</v>
      </c>
      <c r="H21" s="10">
        <f>+B26</f>
        <v>3.4421279726903249</v>
      </c>
      <c r="I21" s="10">
        <f>+C26</f>
        <v>69.754440130854121</v>
      </c>
    </row>
    <row r="22" spans="1:9" x14ac:dyDescent="0.45">
      <c r="E22" s="8">
        <f>+E21+$C$1</f>
        <v>46.01</v>
      </c>
      <c r="F22" s="8">
        <f>+F21+1.5</f>
        <v>71.494203135854121</v>
      </c>
      <c r="H22" s="10">
        <f>+B34</f>
        <v>6.5404762884414049</v>
      </c>
      <c r="I22" s="10">
        <f>+C34</f>
        <v>69.751823575701465</v>
      </c>
    </row>
    <row r="23" spans="1:9" x14ac:dyDescent="0.45">
      <c r="E23" s="8">
        <f>+E22+1</f>
        <v>47.01</v>
      </c>
      <c r="F23" s="8">
        <f>+F22</f>
        <v>71.494203135854121</v>
      </c>
      <c r="H23" s="10">
        <f>+B42</f>
        <v>9.1523412605075354</v>
      </c>
      <c r="I23" s="10">
        <f>+C42</f>
        <v>69.749617855732552</v>
      </c>
    </row>
    <row r="24" spans="1:9" x14ac:dyDescent="0.45">
      <c r="H24" s="10">
        <f>+B50</f>
        <v>10.296383918070976</v>
      </c>
      <c r="I24" s="10">
        <f>+C50</f>
        <v>69.748651711708234</v>
      </c>
    </row>
    <row r="25" spans="1:9" x14ac:dyDescent="0.45">
      <c r="A25" s="1" t="str">
        <f>+K7</f>
        <v>Seccion 3</v>
      </c>
      <c r="B25" t="s">
        <v>5</v>
      </c>
      <c r="C25" t="s">
        <v>10</v>
      </c>
      <c r="E25" s="7" t="s">
        <v>6</v>
      </c>
      <c r="F25" s="7" t="s">
        <v>7</v>
      </c>
      <c r="H25" s="10">
        <f>+B58</f>
        <v>10.306383918070976</v>
      </c>
      <c r="I25" s="10">
        <f>+C58</f>
        <v>69.81574546227516</v>
      </c>
    </row>
    <row r="26" spans="1:9" x14ac:dyDescent="0.45">
      <c r="A26" s="11">
        <f>+$A$10-B26</f>
        <v>996.55787202730971</v>
      </c>
      <c r="B26" s="10">
        <f>+L7</f>
        <v>3.4421279726903249</v>
      </c>
      <c r="C26" s="10">
        <f>+C18+M7-(B26-B18)*$C$5</f>
        <v>69.754440130854121</v>
      </c>
      <c r="E26" s="8">
        <f>0</f>
        <v>0</v>
      </c>
      <c r="F26" s="8">
        <f>+C26+1.5</f>
        <v>71.254440130854121</v>
      </c>
      <c r="H26" s="10">
        <f>+B66</f>
        <v>10.868405246852697</v>
      </c>
      <c r="I26" s="10">
        <f>+C66</f>
        <v>69.814787763250848</v>
      </c>
    </row>
    <row r="27" spans="1:9" x14ac:dyDescent="0.45">
      <c r="C27" s="10"/>
      <c r="E27" s="8">
        <f>+E26+1</f>
        <v>1</v>
      </c>
      <c r="F27" s="8">
        <f>+C26+1.5</f>
        <v>71.254440130854121</v>
      </c>
      <c r="H27" s="10">
        <f>+B74</f>
        <v>1000</v>
      </c>
      <c r="I27" s="10">
        <f>+C66</f>
        <v>69.814787763250848</v>
      </c>
    </row>
    <row r="28" spans="1:9" x14ac:dyDescent="0.45">
      <c r="A28" s="11">
        <f>+A26-A34</f>
        <v>3.0983483157510818</v>
      </c>
      <c r="E28" s="8">
        <f>+E27+$C$1</f>
        <v>1.01</v>
      </c>
      <c r="F28" s="8">
        <f>+F27-1.5</f>
        <v>69.754440130854121</v>
      </c>
    </row>
    <row r="29" spans="1:9" x14ac:dyDescent="0.45">
      <c r="E29" s="8">
        <f>+E28+45-$C$1</f>
        <v>46</v>
      </c>
      <c r="F29" s="8">
        <f>+F28</f>
        <v>69.754440130854121</v>
      </c>
    </row>
    <row r="30" spans="1:9" x14ac:dyDescent="0.45">
      <c r="E30" s="8">
        <f>+E29+$C$1</f>
        <v>46.01</v>
      </c>
      <c r="F30" s="8">
        <f>+F29+1.5</f>
        <v>71.254440130854121</v>
      </c>
    </row>
    <row r="31" spans="1:9" x14ac:dyDescent="0.45">
      <c r="E31" s="8">
        <f>+E30+1</f>
        <v>47.01</v>
      </c>
      <c r="F31" s="8">
        <f>+F30</f>
        <v>71.254440130854121</v>
      </c>
    </row>
    <row r="33" spans="1:6" x14ac:dyDescent="0.45">
      <c r="A33" s="1" t="str">
        <f>+K6</f>
        <v>Seccion 4</v>
      </c>
      <c r="B33" t="s">
        <v>5</v>
      </c>
      <c r="C33" t="s">
        <v>10</v>
      </c>
      <c r="E33" s="7" t="s">
        <v>6</v>
      </c>
      <c r="F33" s="7" t="s">
        <v>7</v>
      </c>
    </row>
    <row r="34" spans="1:6" x14ac:dyDescent="0.45">
      <c r="A34" s="11">
        <f>+$A$10-B34</f>
        <v>993.45952371155863</v>
      </c>
      <c r="B34" s="10">
        <f>+L6</f>
        <v>6.5404762884414049</v>
      </c>
      <c r="C34" s="10">
        <f>+C26+M6-(B34-B26)*$C$5</f>
        <v>69.751823575701465</v>
      </c>
      <c r="E34" s="9">
        <f>0</f>
        <v>0</v>
      </c>
      <c r="F34" s="8">
        <f>+C34+1.5</f>
        <v>71.251823575701465</v>
      </c>
    </row>
    <row r="35" spans="1:6" x14ac:dyDescent="0.45">
      <c r="E35" s="9">
        <f>+E34+1</f>
        <v>1</v>
      </c>
      <c r="F35" s="8">
        <f>+C34+1.5</f>
        <v>71.251823575701465</v>
      </c>
    </row>
    <row r="36" spans="1:6" x14ac:dyDescent="0.45">
      <c r="A36" s="11">
        <f>+A34-A42</f>
        <v>2.6118649720662006</v>
      </c>
      <c r="E36" s="9">
        <f>+E35+$C$1</f>
        <v>1.01</v>
      </c>
      <c r="F36" s="8">
        <f>+F35-1.5</f>
        <v>69.751823575701465</v>
      </c>
    </row>
    <row r="37" spans="1:6" x14ac:dyDescent="0.45">
      <c r="E37" s="9">
        <f>+E36+45-$C$1</f>
        <v>46</v>
      </c>
      <c r="F37" s="8">
        <f>+F36</f>
        <v>69.751823575701465</v>
      </c>
    </row>
    <row r="38" spans="1:6" x14ac:dyDescent="0.45">
      <c r="E38" s="9">
        <f>+E37+$C$1</f>
        <v>46.01</v>
      </c>
      <c r="F38" s="8">
        <f>+F37+1.5</f>
        <v>71.251823575701465</v>
      </c>
    </row>
    <row r="39" spans="1:6" x14ac:dyDescent="0.45">
      <c r="E39" s="9">
        <f>+E38+1</f>
        <v>47.01</v>
      </c>
      <c r="F39" s="8">
        <f>+F38</f>
        <v>71.251823575701465</v>
      </c>
    </row>
    <row r="41" spans="1:6" x14ac:dyDescent="0.45">
      <c r="A41" s="1" t="str">
        <f>+K5</f>
        <v>Seccion 5</v>
      </c>
      <c r="B41" t="s">
        <v>5</v>
      </c>
      <c r="C41" t="s">
        <v>10</v>
      </c>
      <c r="E41" s="7" t="s">
        <v>6</v>
      </c>
      <c r="F41" s="7" t="s">
        <v>7</v>
      </c>
    </row>
    <row r="42" spans="1:6" x14ac:dyDescent="0.45">
      <c r="A42" s="11">
        <f>+$A$10-B42</f>
        <v>990.84765873949243</v>
      </c>
      <c r="B42" s="10">
        <f>+L5</f>
        <v>9.1523412605075354</v>
      </c>
      <c r="C42" s="10">
        <f>+C34+M5-(B42-B34)*C5</f>
        <v>69.749617855732552</v>
      </c>
      <c r="E42" s="9">
        <f>0</f>
        <v>0</v>
      </c>
      <c r="F42" s="8">
        <f>+C42+1.5</f>
        <v>71.249617855732552</v>
      </c>
    </row>
    <row r="43" spans="1:6" x14ac:dyDescent="0.45">
      <c r="E43" s="9">
        <f>+E42+1</f>
        <v>1</v>
      </c>
      <c r="F43" s="8">
        <f>+C42+1.5</f>
        <v>71.249617855732552</v>
      </c>
    </row>
    <row r="44" spans="1:6" x14ac:dyDescent="0.45">
      <c r="A44" s="11">
        <f>+A42-A50</f>
        <v>1.1440426575634319</v>
      </c>
      <c r="E44" s="9">
        <f>+E43+$C$1</f>
        <v>1.01</v>
      </c>
      <c r="F44" s="8">
        <f>+F43-1.5</f>
        <v>69.749617855732552</v>
      </c>
    </row>
    <row r="45" spans="1:6" x14ac:dyDescent="0.45">
      <c r="E45" s="9">
        <f>+E44+45-$C$1</f>
        <v>46</v>
      </c>
      <c r="F45" s="8">
        <f>+F44</f>
        <v>69.749617855732552</v>
      </c>
    </row>
    <row r="46" spans="1:6" x14ac:dyDescent="0.45">
      <c r="E46" s="9">
        <f>+E45+$C$1</f>
        <v>46.01</v>
      </c>
      <c r="F46" s="8">
        <f>+F45+1.5</f>
        <v>71.249617855732552</v>
      </c>
    </row>
    <row r="47" spans="1:6" x14ac:dyDescent="0.45">
      <c r="E47" s="9">
        <f>+E46+1</f>
        <v>47.01</v>
      </c>
      <c r="F47" s="8">
        <f>+F46</f>
        <v>71.249617855732552</v>
      </c>
    </row>
    <row r="49" spans="1:6" x14ac:dyDescent="0.45">
      <c r="A49" s="1" t="str">
        <f>+K4</f>
        <v>Seccion 6</v>
      </c>
      <c r="B49" t="s">
        <v>5</v>
      </c>
      <c r="C49" t="s">
        <v>10</v>
      </c>
      <c r="E49" s="7" t="s">
        <v>6</v>
      </c>
      <c r="F49" s="7" t="s">
        <v>7</v>
      </c>
    </row>
    <row r="50" spans="1:6" x14ac:dyDescent="0.45">
      <c r="A50" s="11">
        <f>+$A$10-B50</f>
        <v>989.703616081929</v>
      </c>
      <c r="B50" s="10">
        <f>+L4</f>
        <v>10.296383918070976</v>
      </c>
      <c r="C50" s="10">
        <f>+C42+M4-(B50-B42)*$C$5</f>
        <v>69.748651711708234</v>
      </c>
      <c r="E50" s="9">
        <f>0</f>
        <v>0</v>
      </c>
      <c r="F50" s="8">
        <f>+C50+1.5</f>
        <v>71.248651711708234</v>
      </c>
    </row>
    <row r="51" spans="1:6" x14ac:dyDescent="0.45">
      <c r="E51" s="9">
        <f>+E50+1</f>
        <v>1</v>
      </c>
      <c r="F51" s="8">
        <f>+C50+1.5</f>
        <v>71.248651711708234</v>
      </c>
    </row>
    <row r="52" spans="1:6" x14ac:dyDescent="0.45">
      <c r="A52" s="11">
        <f>+A50-A58</f>
        <v>9.9999999999909051E-3</v>
      </c>
      <c r="E52" s="9">
        <f>+E51+$C$1</f>
        <v>1.01</v>
      </c>
      <c r="F52" s="8">
        <f>+F51-1.5</f>
        <v>69.748651711708234</v>
      </c>
    </row>
    <row r="53" spans="1:6" x14ac:dyDescent="0.45">
      <c r="E53" s="9">
        <f>+E52+45-$C$1</f>
        <v>46</v>
      </c>
      <c r="F53" s="8">
        <f>+F52</f>
        <v>69.748651711708234</v>
      </c>
    </row>
    <row r="54" spans="1:6" x14ac:dyDescent="0.45">
      <c r="E54" s="9">
        <f>+E53+$C$1</f>
        <v>46.01</v>
      </c>
      <c r="F54" s="8">
        <f>+F53+1.5</f>
        <v>71.248651711708234</v>
      </c>
    </row>
    <row r="55" spans="1:6" x14ac:dyDescent="0.45">
      <c r="E55" s="9">
        <f>+E54+1</f>
        <v>47.01</v>
      </c>
      <c r="F55" s="8">
        <f>+F54</f>
        <v>71.248651711708234</v>
      </c>
    </row>
    <row r="57" spans="1:6" x14ac:dyDescent="0.45">
      <c r="A57" s="1" t="str">
        <f>+K3</f>
        <v>Seccion 7</v>
      </c>
      <c r="B57" t="s">
        <v>5</v>
      </c>
      <c r="C57" t="s">
        <v>10</v>
      </c>
      <c r="E57" s="7" t="s">
        <v>6</v>
      </c>
      <c r="F57" s="7" t="s">
        <v>7</v>
      </c>
    </row>
    <row r="58" spans="1:6" x14ac:dyDescent="0.45">
      <c r="A58" s="11">
        <f>+$A$10-B58</f>
        <v>989.69361608192901</v>
      </c>
      <c r="B58" s="10">
        <f>+L3</f>
        <v>10.306383918070976</v>
      </c>
      <c r="C58" s="10">
        <f>+C50+M3-(B58-B50)*C5</f>
        <v>69.81574546227516</v>
      </c>
      <c r="E58" s="2">
        <f>0</f>
        <v>0</v>
      </c>
      <c r="F58" s="8">
        <f>+C58+1.5</f>
        <v>71.31574546227516</v>
      </c>
    </row>
    <row r="59" spans="1:6" x14ac:dyDescent="0.45">
      <c r="E59" s="2">
        <f>+E58+1</f>
        <v>1</v>
      </c>
      <c r="F59" s="8">
        <f>+C58+1.5</f>
        <v>71.31574546227516</v>
      </c>
    </row>
    <row r="60" spans="1:6" x14ac:dyDescent="0.45">
      <c r="A60" s="11">
        <f>+A58-A66</f>
        <v>0.56202132878172506</v>
      </c>
      <c r="E60" s="2">
        <f>+E59+$C$1</f>
        <v>1.01</v>
      </c>
      <c r="F60" s="8">
        <f>+F59-1.5</f>
        <v>69.81574546227516</v>
      </c>
    </row>
    <row r="61" spans="1:6" x14ac:dyDescent="0.45">
      <c r="E61" s="2">
        <f>+E60+45-$C$1</f>
        <v>46</v>
      </c>
      <c r="F61" s="8">
        <f>+F60</f>
        <v>69.81574546227516</v>
      </c>
    </row>
    <row r="62" spans="1:6" x14ac:dyDescent="0.45">
      <c r="E62" s="2">
        <f>+E61+$C$1</f>
        <v>46.01</v>
      </c>
      <c r="F62" s="8">
        <f>+F61+1.5</f>
        <v>71.31574546227516</v>
      </c>
    </row>
    <row r="63" spans="1:6" x14ac:dyDescent="0.45">
      <c r="E63" s="2">
        <f>+E62+1</f>
        <v>47.01</v>
      </c>
      <c r="F63" s="8">
        <f>+F62</f>
        <v>71.31574546227516</v>
      </c>
    </row>
    <row r="65" spans="1:6" x14ac:dyDescent="0.45">
      <c r="A65" s="1" t="str">
        <f>+K2</f>
        <v>Seccion 8</v>
      </c>
      <c r="B65" t="s">
        <v>5</v>
      </c>
      <c r="C65" t="s">
        <v>10</v>
      </c>
      <c r="E65" s="7" t="s">
        <v>6</v>
      </c>
      <c r="F65" s="7" t="s">
        <v>7</v>
      </c>
    </row>
    <row r="66" spans="1:6" x14ac:dyDescent="0.45">
      <c r="A66" s="11">
        <f>+$A$10-B66</f>
        <v>989.13159475314728</v>
      </c>
      <c r="B66" s="10">
        <f>+L2</f>
        <v>10.868405246852697</v>
      </c>
      <c r="C66" s="10">
        <f>+C58+M2-(B66-B58)*$C$5</f>
        <v>69.814787763250848</v>
      </c>
      <c r="E66" s="8">
        <f>0</f>
        <v>0</v>
      </c>
      <c r="F66" s="8">
        <f>+C66+1.5</f>
        <v>71.314787763250848</v>
      </c>
    </row>
    <row r="67" spans="1:6" x14ac:dyDescent="0.45">
      <c r="E67" s="8">
        <f>+E66+1</f>
        <v>1</v>
      </c>
      <c r="F67" s="8">
        <f>+C66+1.5</f>
        <v>71.314787763250848</v>
      </c>
    </row>
    <row r="68" spans="1:6" x14ac:dyDescent="0.45">
      <c r="A68" s="11">
        <f>+A66-A74</f>
        <v>989.13159475314728</v>
      </c>
      <c r="E68" s="8">
        <f>+E67+$C$1</f>
        <v>1.01</v>
      </c>
      <c r="F68" s="8">
        <f>+F67-1.5</f>
        <v>69.814787763250848</v>
      </c>
    </row>
    <row r="69" spans="1:6" x14ac:dyDescent="0.45">
      <c r="E69" s="8">
        <f>+E68+45-$C$1</f>
        <v>46</v>
      </c>
      <c r="F69" s="8">
        <f>+F68</f>
        <v>69.814787763250848</v>
      </c>
    </row>
    <row r="70" spans="1:6" x14ac:dyDescent="0.45">
      <c r="E70" s="8">
        <f>+E69+$C$1</f>
        <v>46.01</v>
      </c>
      <c r="F70" s="8">
        <f>+F69+1.5</f>
        <v>71.314787763250848</v>
      </c>
    </row>
    <row r="71" spans="1:6" x14ac:dyDescent="0.45">
      <c r="E71" s="8">
        <f>+E70+1</f>
        <v>47.01</v>
      </c>
      <c r="F71" s="8">
        <f>+F70</f>
        <v>71.314787763250848</v>
      </c>
    </row>
    <row r="73" spans="1:6" x14ac:dyDescent="0.45">
      <c r="A73" s="14" t="s">
        <v>29</v>
      </c>
      <c r="B73" s="15" t="s">
        <v>5</v>
      </c>
      <c r="C73" s="15" t="s">
        <v>10</v>
      </c>
      <c r="D73" s="15"/>
      <c r="E73" s="16" t="s">
        <v>6</v>
      </c>
      <c r="F73" s="16" t="s">
        <v>7</v>
      </c>
    </row>
    <row r="74" spans="1:6" x14ac:dyDescent="0.45">
      <c r="A74" s="17">
        <v>0</v>
      </c>
      <c r="B74" s="18">
        <v>1000</v>
      </c>
      <c r="C74" s="18">
        <f>C66-(A66)*$C$5</f>
        <v>68.979466131481814</v>
      </c>
      <c r="D74" s="15"/>
      <c r="E74" s="20">
        <f>0</f>
        <v>0</v>
      </c>
      <c r="F74" s="20">
        <f>+C74+1.5</f>
        <v>70.479466131481814</v>
      </c>
    </row>
    <row r="75" spans="1:6" x14ac:dyDescent="0.45">
      <c r="A75" s="14"/>
      <c r="B75" s="15"/>
      <c r="C75" s="15"/>
      <c r="D75" s="15"/>
      <c r="E75" s="20">
        <f>+E74+1</f>
        <v>1</v>
      </c>
      <c r="F75" s="20">
        <f>+C74+1.5</f>
        <v>70.479466131481814</v>
      </c>
    </row>
    <row r="76" spans="1:6" x14ac:dyDescent="0.45">
      <c r="A76" s="11">
        <f>+A74-A82</f>
        <v>0</v>
      </c>
      <c r="B76" s="15"/>
      <c r="C76" s="15"/>
      <c r="D76" s="15"/>
      <c r="E76" s="20">
        <f>+E75+$C$1</f>
        <v>1.01</v>
      </c>
      <c r="F76" s="20">
        <f>+F75-1.5</f>
        <v>68.979466131481814</v>
      </c>
    </row>
    <row r="77" spans="1:6" x14ac:dyDescent="0.45">
      <c r="A77" s="14"/>
      <c r="B77" s="15"/>
      <c r="C77" s="15"/>
      <c r="D77" s="15"/>
      <c r="E77" s="20">
        <f>+E76+45-$C$1</f>
        <v>46</v>
      </c>
      <c r="F77" s="20">
        <f>+F76</f>
        <v>68.979466131481814</v>
      </c>
    </row>
    <row r="78" spans="1:6" x14ac:dyDescent="0.45">
      <c r="A78" s="14"/>
      <c r="B78" s="15"/>
      <c r="C78" s="15"/>
      <c r="D78" s="15"/>
      <c r="E78" s="20">
        <f>+E77+$C$1</f>
        <v>46.01</v>
      </c>
      <c r="F78" s="20">
        <f>+F77+1.5</f>
        <v>70.479466131481814</v>
      </c>
    </row>
    <row r="79" spans="1:6" x14ac:dyDescent="0.45">
      <c r="A79" s="14"/>
      <c r="B79" s="15"/>
      <c r="C79" s="15"/>
      <c r="D79" s="15"/>
      <c r="E79" s="20">
        <f>+E78+1</f>
        <v>47.01</v>
      </c>
      <c r="F79" s="20">
        <f>+F78</f>
        <v>70.479466131481814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ED3E-D499-4421-BB65-0C3EAB374ADC}">
  <dimension ref="B2"/>
  <sheetViews>
    <sheetView workbookViewId="0">
      <selection activeCell="B2" sqref="B2"/>
    </sheetView>
  </sheetViews>
  <sheetFormatPr defaultRowHeight="14.25" x14ac:dyDescent="0.45"/>
  <sheetData>
    <row r="2" spans="2:2" x14ac:dyDescent="0.45">
      <c r="B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Sin ContraEscalon</vt:lpstr>
      <vt:lpstr>Con ContraEscalon</vt:lpstr>
      <vt:lpstr>Metadata</vt:lpstr>
      <vt:lpstr>'Con ContraEscalon'!hc</vt:lpstr>
      <vt:lpstr>'Sin ContraEscalon'!hc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MESA VARGAS</dc:creator>
  <cp:lastModifiedBy>WILLIAM RICARDO AGUILAR PIÑA</cp:lastModifiedBy>
  <dcterms:created xsi:type="dcterms:W3CDTF">2025-10-19T22:28:26Z</dcterms:created>
  <dcterms:modified xsi:type="dcterms:W3CDTF">2025-10-22T12:05:58Z</dcterms:modified>
</cp:coreProperties>
</file>