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1"/>
  <workbookPr updateLinks="never" codeName="ThisWorkbook" defaultThemeVersion="166925"/>
  <mc:AlternateContent xmlns:mc="http://schemas.openxmlformats.org/markup-compatibility/2006">
    <mc:Choice Requires="x15">
      <x15ac:absPath xmlns:x15ac="http://schemas.microsoft.com/office/spreadsheetml/2010/11/ac" url="D:\R.HCMC\activity\M03A03\"/>
    </mc:Choice>
  </mc:AlternateContent>
  <xr:revisionPtr revIDLastSave="0" documentId="13_ncr:1_{F0D031E5-6028-400D-B3E6-03DC6814289E}" xr6:coauthVersionLast="47" xr6:coauthVersionMax="47" xr10:uidLastSave="{00000000-0000-0000-0000-000000000000}"/>
  <bookViews>
    <workbookView xWindow="-98" yWindow="-98" windowWidth="28996" windowHeight="15675" activeTab="1" xr2:uid="{CB4A84EB-58A9-4828-A1EC-5E14AACD60D5}"/>
  </bookViews>
  <sheets>
    <sheet name="Calificacion" sheetId="12" r:id="rId1"/>
    <sheet name="Detalle" sheetId="10" r:id="rId2"/>
  </sheets>
  <definedNames>
    <definedName name="_xlnm.Print_Area" localSheetId="1">Detalle!$B$1:$E$10</definedName>
    <definedName name="_xlnm.Print_Titles" localSheetId="1">Detalle!$1:$3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10" l="1"/>
  <c r="B19" i="12"/>
  <c r="F13" i="12"/>
  <c r="AP10" i="10"/>
  <c r="D18" i="12" s="1"/>
  <c r="F18" i="12" s="1"/>
  <c r="AM10" i="10"/>
  <c r="D17" i="12" s="1"/>
  <c r="F17" i="12" s="1"/>
  <c r="AJ10" i="10"/>
  <c r="D16" i="12" s="1"/>
  <c r="F16" i="12" s="1"/>
  <c r="AG10" i="10"/>
  <c r="D15" i="12" s="1"/>
  <c r="F15" i="12" s="1"/>
  <c r="AD10" i="10"/>
  <c r="D14" i="12" s="1"/>
  <c r="F14" i="12" s="1"/>
  <c r="AA10" i="10"/>
  <c r="D13" i="12" s="1"/>
  <c r="X10" i="10"/>
  <c r="U10" i="10"/>
  <c r="R10" i="10"/>
  <c r="O10" i="10"/>
  <c r="L10" i="10"/>
  <c r="I10" i="10"/>
  <c r="F10" i="10"/>
  <c r="AP2" i="10" l="1"/>
  <c r="AM2" i="10"/>
  <c r="AJ2" i="10"/>
  <c r="AG2" i="10"/>
  <c r="AD2" i="10"/>
  <c r="AA2" i="10"/>
  <c r="X2" i="10"/>
  <c r="U2" i="10"/>
  <c r="R2" i="10"/>
  <c r="O2" i="10"/>
  <c r="L2" i="10"/>
  <c r="I2" i="10"/>
  <c r="F2" i="10"/>
  <c r="C2" i="10"/>
  <c r="C10" i="10" l="1"/>
  <c r="D5" i="12" s="1"/>
  <c r="F5" i="12" s="1"/>
  <c r="D12" i="12" l="1"/>
  <c r="F12" i="12" s="1"/>
  <c r="D11" i="12"/>
  <c r="F11" i="12" s="1"/>
  <c r="D10" i="12"/>
  <c r="F10" i="12" s="1"/>
  <c r="D9" i="12"/>
  <c r="F9" i="12" s="1"/>
  <c r="D8" i="12"/>
  <c r="F8" i="12" s="1"/>
  <c r="D7" i="12"/>
  <c r="F7" i="12" s="1"/>
  <c r="D6" i="12"/>
  <c r="F6" i="12" s="1"/>
</calcChain>
</file>

<file path=xl/sharedStrings.xml><?xml version="1.0" encoding="utf-8"?>
<sst xmlns="http://schemas.openxmlformats.org/spreadsheetml/2006/main" count="80" uniqueCount="39">
  <si>
    <t>Observaciones</t>
  </si>
  <si>
    <t>Calificación</t>
  </si>
  <si>
    <t>Código</t>
  </si>
  <si>
    <t>Requerimiento</t>
  </si>
  <si>
    <t>Valor</t>
  </si>
  <si>
    <t>En el modelo HECRAS_v1 presentado en la entrega anterior del proyecto final, asignar las rugosidades en zona central del cauce dominante y valle. Utilizar los valores con los cuales realizó todo el diseño hidráulico de su proyecto en el Tema 1.</t>
  </si>
  <si>
    <t>Flujo permanente: defina y justifique los periodos de retorno a utilizar, ingrese los caudales pico obtenidos, el caudal medio, el caudal ecológico estimado y defina las condiciones de frontera aguas abajo y aguas arriba. Considere los periodos utilizados para las estructuras hidráulicas a modelar y el caudal pico por simultaneidad (factor de atenuación por lluvia simultánea) para los nodos de unión y cauces laterales.</t>
  </si>
  <si>
    <t>Luego de ingresados todos los parámetros hidráulicos y condiciones de frontera al modelo, comprimir como HECRAS_v1.zip.</t>
  </si>
  <si>
    <t>Flujo no permanente: defina y justifique los periodos de retorno a utilizar, ingrese los pulsos de los hidrogramas obtenidos de la modelación hidrológica y defina las condiciones de frontera aguas abajo y aguas arriba. Considere los periodos utilizados para las estructuras hidráulicas a modelar y los pulsos máximos por simultaneidad para los nodos de unión y cauces laterales. Para cada periodo de retorno deberá definir un archivo de datos dentro del mismo modelo hidráulico.</t>
  </si>
  <si>
    <t>Calificar sobre</t>
  </si>
  <si>
    <t>Calificación final</t>
  </si>
  <si>
    <t>Crear un único reporte en Adobe Acrobat que muestre capturas de pantalla detalladas del proceso de ingreso de datos, parámetros hidráulicos, condiciones de frontera y gráficas de cada hidrograma ingresado, nombrar como HCMC0023.pdf. Incluir portada, tabla de contenido, numeración de páginas y observaciones detalladas.</t>
  </si>
  <si>
    <t>Calificación Instructor</t>
  </si>
  <si>
    <t>Autocalificación Alumno</t>
  </si>
  <si>
    <t>Grupo 1</t>
  </si>
  <si>
    <t>Grupo 2</t>
  </si>
  <si>
    <t>Grupo 3</t>
  </si>
  <si>
    <t>Grupo 4</t>
  </si>
  <si>
    <t>Grupo 5</t>
  </si>
  <si>
    <t>Sin comprimido de modelo para verificación de parámetros ingresados.</t>
  </si>
  <si>
    <t>Sin comprimido de modelo para verificación de parámetros ingresados. En informe solo mostraron los gráficos del cauce principal y no se pueden observar los demás parámetros utilizados, sin hidrogramas de cauces laterales.</t>
  </si>
  <si>
    <t>Sin información de hidrogramas en cauces laterales, sin captura de parámetros en flujo no permanente.</t>
  </si>
  <si>
    <t>Sin comprimido de modelo para verificación de parámetros ingresados. Verificado con captura de pantalla.</t>
  </si>
  <si>
    <t>Para los cauces laterales que ingresan al canal diseñado, recomiendo utilizar los hidrogramas correspondientes a los factores de atenuación del nodo de descarga, 0.63 y 0.62 para el periodo de diseño utilizado en las estructuras laterales. Con los valores ingresados en los cauces laterales es posible que obtengan desbordamientos y no se podrá evaluar correctamente la condición de diseño.</t>
  </si>
  <si>
    <t>Los valores ingresados en los junctions del cauce principal no son correctos, se debe modelar el canal principal en sus diferentes tramos con los caudales obtenidos en los nodos hidrológicos J4685, J4682 y J4660 para los factores de atenuación evaluados.</t>
  </si>
  <si>
    <t>En esta entrega se puede observar que ya ajusto el abscisado del cauce principal y que el perfil del fondo no es correcto estando por encima del fondo de los cauces naturales y funcionando el canal como un obstáculo. Es mecesario volver a realizar los cortes en CIVIL3D y volver a generar el modelo hidráulico.</t>
  </si>
  <si>
    <t>Valores incompletos, en cada nodo se deben colocar caudales pico para poder modelar cada tramo y resolver las líneas de energía y perfiles hidráulicos, sin caudal medio, faltan periodos de retorno.</t>
  </si>
  <si>
    <t>Condición de frontera sin pendiente de la línea de energía. Los pulsos del hidrograma se ingresan cada minuto y no cada hora. Sin datos para 100 años de periodo de retorno.</t>
  </si>
  <si>
    <t>Calificación: 3.3. Definición de parámetros hidráulicos y condiciones de frontera</t>
  </si>
  <si>
    <t>Grupo 6</t>
  </si>
  <si>
    <t>Grupo 7</t>
  </si>
  <si>
    <t>Grupo 8</t>
  </si>
  <si>
    <t>Grupo 9</t>
  </si>
  <si>
    <t>Grupo 10</t>
  </si>
  <si>
    <t>Grupo 11</t>
  </si>
  <si>
    <t>Grupo 12</t>
  </si>
  <si>
    <t>Grupo 13</t>
  </si>
  <si>
    <t>Grupo 14</t>
  </si>
  <si>
    <t>M03A03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</si>
</sst>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u/>
      <sz val="11"/>
      <color theme="10"/>
      <name val="Calibri"/>
      <family val="2"/>
      <scheme val="minor"/>
    </font>
    <font>
      <sz val="11"/>
      <color theme="1"/>
      <name val="Calibri"/>
      <family val="2"/>
      <scheme val="minor"/>
    </font>
    <font>
      <u/>
      <sz val="10"/>
      <color theme="10"/>
      <name val="Calibri Light"/>
      <family val="2"/>
    </font>
    <font>
      <sz val="10"/>
      <color theme="1"/>
      <name val="Calibri Light"/>
      <family val="2"/>
    </font>
    <font>
      <sz val="10"/>
      <color theme="1"/>
      <name val="Segoe UI Light"/>
      <family val="2"/>
    </font>
    <font>
      <sz val="10"/>
      <name val="Segoe UI Light"/>
      <family val="2"/>
    </font>
    <font>
      <sz val="10"/>
      <color rgb="FFC00000"/>
      <name val="Segoe UI Light"/>
      <family val="2"/>
    </font>
    <font>
      <sz val="11"/>
      <color theme="1"/>
      <name val="Segoe UI Light"/>
      <family val="2"/>
    </font>
    <font>
      <sz val="8"/>
      <name val="Calibri"/>
      <family val="2"/>
      <scheme val="minor"/>
    </font>
    <font>
      <b/>
      <sz val="10"/>
      <color rgb="FFC00000"/>
      <name val="Segoe UI Light"/>
      <family val="2"/>
    </font>
    <font>
      <sz val="8"/>
      <color rgb="FF0070C0"/>
      <name val="Segoe UI Light"/>
      <family val="2"/>
    </font>
    <font>
      <sz val="10"/>
      <color rgb="FF0070C0"/>
      <name val="Segoe UI Light"/>
      <family val="2"/>
    </font>
    <font>
      <sz val="8"/>
      <color theme="1"/>
      <name val="Segoe UI Light"/>
      <family val="2"/>
    </font>
  </fonts>
  <fills count="3">
    <fill>
      <patternFill patternType="none"/>
    </fill>
    <fill>
      <patternFill patternType="gray125"/>
    </fill>
    <fill>
      <patternFill patternType="solid">
        <fgColor theme="0" tint="-4.9989318521683403E-2"/>
        <bgColor indexed="64"/>
      </patternFill>
    </fill>
  </fills>
  <borders count="16">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right/>
      <top style="thin">
        <color indexed="64"/>
      </top>
      <bottom style="thin">
        <color theme="0" tint="-4.9989318521683403E-2"/>
      </bottom>
      <diagonal/>
    </border>
    <border>
      <left style="thin">
        <color indexed="64"/>
      </left>
      <right/>
      <top style="thin">
        <color indexed="64"/>
      </top>
      <bottom style="thin">
        <color theme="0" tint="-4.9989318521683403E-2"/>
      </bottom>
      <diagonal/>
    </border>
    <border>
      <left style="thin">
        <color indexed="64"/>
      </left>
      <right/>
      <top style="thin">
        <color theme="0" tint="-4.9989318521683403E-2"/>
      </top>
      <bottom style="thin">
        <color theme="0" tint="-4.9989318521683403E-2"/>
      </bottom>
      <diagonal/>
    </border>
    <border>
      <left style="thin">
        <color indexed="64"/>
      </left>
      <right/>
      <top style="thin">
        <color theme="0" tint="-4.9989318521683403E-2"/>
      </top>
      <bottom style="thin">
        <color indexed="64"/>
      </bottom>
      <diagonal/>
    </border>
    <border>
      <left/>
      <right style="thin">
        <color indexed="64"/>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right/>
      <top/>
      <bottom style="thin">
        <color indexed="64"/>
      </bottom>
      <diagonal/>
    </border>
  </borders>
  <cellStyleXfs count="6">
    <xf numFmtId="0" fontId="0" fillId="0" borderId="0"/>
    <xf numFmtId="0" fontId="1" fillId="0" borderId="0" applyNumberFormat="0" applyFill="0" applyBorder="0" applyAlignment="0" applyProtection="0"/>
    <xf numFmtId="0" fontId="3" fillId="0" borderId="0" applyNumberFormat="0" applyFill="0" applyBorder="0" applyAlignment="0" applyProtection="0"/>
    <xf numFmtId="0" fontId="4" fillId="0" borderId="0"/>
    <xf numFmtId="0" fontId="2" fillId="0" borderId="0"/>
    <xf numFmtId="43" fontId="4" fillId="0" borderId="0" applyFont="0" applyFill="0" applyBorder="0" applyAlignment="0" applyProtection="0"/>
  </cellStyleXfs>
  <cellXfs count="46">
    <xf numFmtId="0" fontId="0" fillId="0" borderId="0" xfId="0"/>
    <xf numFmtId="0" fontId="6" fillId="0" borderId="0" xfId="4" applyFont="1" applyAlignment="1">
      <alignment horizontal="left" vertical="top"/>
    </xf>
    <xf numFmtId="0" fontId="6" fillId="0" borderId="0" xfId="0" applyFont="1" applyAlignment="1">
      <alignment horizontal="left" vertical="top" wrapText="1"/>
    </xf>
    <xf numFmtId="2" fontId="6" fillId="2" borderId="8" xfId="0" applyNumberFormat="1" applyFont="1" applyFill="1" applyBorder="1" applyAlignment="1">
      <alignment horizontal="center" vertical="top" wrapText="1"/>
    </xf>
    <xf numFmtId="0" fontId="6" fillId="0" borderId="0" xfId="0" applyFont="1" applyAlignment="1">
      <alignment horizontal="center" vertical="top" wrapText="1"/>
    </xf>
    <xf numFmtId="0" fontId="6" fillId="0" borderId="0" xfId="0" applyFont="1" applyAlignment="1">
      <alignment vertical="top" wrapText="1"/>
    </xf>
    <xf numFmtId="0" fontId="6" fillId="0" borderId="0" xfId="4" applyFont="1" applyAlignment="1">
      <alignment horizontal="right" vertical="top"/>
    </xf>
    <xf numFmtId="0" fontId="6" fillId="0" borderId="0" xfId="0" applyFont="1" applyAlignment="1">
      <alignment vertical="top"/>
    </xf>
    <xf numFmtId="0" fontId="6" fillId="2" borderId="1" xfId="0" applyFont="1" applyFill="1" applyBorder="1" applyAlignment="1">
      <alignment horizontal="center" vertical="top" wrapText="1"/>
    </xf>
    <xf numFmtId="2" fontId="6" fillId="0" borderId="1" xfId="0" applyNumberFormat="1" applyFont="1" applyBorder="1" applyAlignment="1" applyProtection="1">
      <alignment horizontal="center" vertical="top" wrapText="1"/>
      <protection locked="0"/>
    </xf>
    <xf numFmtId="2" fontId="6" fillId="0" borderId="5" xfId="0" applyNumberFormat="1" applyFont="1" applyBorder="1" applyAlignment="1">
      <alignment horizontal="left" vertical="top" wrapText="1"/>
    </xf>
    <xf numFmtId="0" fontId="5" fillId="0" borderId="4" xfId="0" applyFont="1" applyBorder="1" applyAlignment="1">
      <alignment horizontal="center" vertical="top"/>
    </xf>
    <xf numFmtId="0" fontId="5" fillId="0" borderId="0" xfId="0" applyFont="1" applyAlignment="1">
      <alignment vertical="top"/>
    </xf>
    <xf numFmtId="0" fontId="6" fillId="0" borderId="0" xfId="1" applyFont="1" applyAlignment="1">
      <alignment horizontal="left" vertical="top"/>
    </xf>
    <xf numFmtId="0" fontId="6" fillId="0" borderId="0" xfId="2" applyFont="1" applyFill="1" applyAlignment="1">
      <alignment horizontal="right" vertical="top"/>
    </xf>
    <xf numFmtId="164" fontId="6" fillId="0" borderId="11" xfId="0" applyNumberFormat="1" applyFont="1" applyBorder="1" applyAlignment="1" applyProtection="1">
      <alignment horizontal="left" vertical="top" wrapText="1"/>
      <protection locked="0"/>
    </xf>
    <xf numFmtId="164" fontId="6" fillId="2" borderId="12" xfId="0" applyNumberFormat="1" applyFont="1" applyFill="1" applyBorder="1" applyAlignment="1">
      <alignment horizontal="left" vertical="top" wrapText="1"/>
    </xf>
    <xf numFmtId="0" fontId="6" fillId="2" borderId="4" xfId="0" applyFont="1" applyFill="1" applyBorder="1" applyAlignment="1">
      <alignment horizontal="center" vertical="top" wrapText="1"/>
    </xf>
    <xf numFmtId="0" fontId="6" fillId="2" borderId="5" xfId="0" applyFont="1" applyFill="1" applyBorder="1" applyAlignment="1">
      <alignment horizontal="left" vertical="top" wrapText="1"/>
    </xf>
    <xf numFmtId="2" fontId="6" fillId="0" borderId="4" xfId="0" applyNumberFormat="1" applyFont="1" applyBorder="1" applyAlignment="1" applyProtection="1">
      <alignment horizontal="center" vertical="top" wrapText="1"/>
      <protection locked="0"/>
    </xf>
    <xf numFmtId="2" fontId="6" fillId="2" borderId="6" xfId="0" applyNumberFormat="1" applyFont="1" applyFill="1" applyBorder="1" applyAlignment="1">
      <alignment horizontal="center" vertical="top" wrapText="1"/>
    </xf>
    <xf numFmtId="0" fontId="6" fillId="2" borderId="7" xfId="0" applyFont="1" applyFill="1" applyBorder="1" applyAlignment="1">
      <alignment horizontal="left" vertical="top" wrapText="1"/>
    </xf>
    <xf numFmtId="2" fontId="7" fillId="0" borderId="5" xfId="0" applyNumberFormat="1" applyFont="1" applyBorder="1" applyAlignment="1">
      <alignment horizontal="left" vertical="top" wrapText="1"/>
    </xf>
    <xf numFmtId="0" fontId="8" fillId="2" borderId="2" xfId="0" applyFont="1" applyFill="1" applyBorder="1" applyAlignment="1">
      <alignment horizontal="center" vertical="top" wrapText="1"/>
    </xf>
    <xf numFmtId="0" fontId="8" fillId="2" borderId="14" xfId="0" applyFont="1" applyFill="1" applyBorder="1" applyAlignment="1">
      <alignment horizontal="center" vertical="top" wrapText="1"/>
    </xf>
    <xf numFmtId="0" fontId="8" fillId="2" borderId="3" xfId="0" applyFont="1" applyFill="1" applyBorder="1" applyAlignment="1">
      <alignment horizontal="center" vertical="top" wrapText="1"/>
    </xf>
    <xf numFmtId="2" fontId="6" fillId="0" borderId="1" xfId="0" applyNumberFormat="1" applyFont="1" applyBorder="1" applyAlignment="1">
      <alignment horizontal="center" vertical="top" wrapText="1"/>
    </xf>
    <xf numFmtId="2" fontId="5" fillId="0" borderId="5" xfId="0" applyNumberFormat="1" applyFont="1" applyBorder="1" applyAlignment="1">
      <alignment horizontal="center" vertical="top"/>
    </xf>
    <xf numFmtId="0" fontId="5" fillId="0" borderId="0" xfId="0" applyFont="1" applyAlignment="1">
      <alignment wrapText="1"/>
    </xf>
    <xf numFmtId="0" fontId="5" fillId="2" borderId="14" xfId="0" applyFont="1" applyFill="1" applyBorder="1" applyAlignment="1">
      <alignment horizontal="center" vertical="top" wrapText="1"/>
    </xf>
    <xf numFmtId="2" fontId="7" fillId="0" borderId="4" xfId="0" applyNumberFormat="1" applyFont="1" applyBorder="1" applyAlignment="1" applyProtection="1">
      <alignment horizontal="center" vertical="top" wrapText="1"/>
      <protection locked="0"/>
    </xf>
    <xf numFmtId="2" fontId="10" fillId="0" borderId="5" xfId="0" applyNumberFormat="1" applyFont="1" applyBorder="1" applyAlignment="1">
      <alignment horizontal="left" vertical="top" wrapText="1"/>
    </xf>
    <xf numFmtId="0" fontId="5" fillId="0" borderId="0" xfId="0" applyFont="1" applyAlignment="1">
      <alignment horizontal="left" vertical="top"/>
    </xf>
    <xf numFmtId="0" fontId="5" fillId="0" borderId="15" xfId="0" applyFont="1" applyBorder="1" applyAlignment="1">
      <alignment horizontal="left" vertical="top"/>
    </xf>
    <xf numFmtId="0" fontId="6" fillId="2" borderId="10" xfId="0" applyFont="1" applyFill="1" applyBorder="1" applyAlignment="1">
      <alignment horizontal="center" vertical="top" wrapText="1"/>
    </xf>
    <xf numFmtId="0" fontId="6" fillId="2" borderId="9" xfId="0" applyFont="1" applyFill="1" applyBorder="1" applyAlignment="1">
      <alignment horizontal="center" vertical="top" wrapText="1"/>
    </xf>
    <xf numFmtId="0" fontId="6" fillId="2" borderId="13" xfId="0" applyFont="1" applyFill="1" applyBorder="1" applyAlignment="1">
      <alignment horizontal="center" vertical="top"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11" fillId="0" borderId="0" xfId="1" applyFont="1" applyBorder="1" applyAlignment="1">
      <alignment horizontal="left" vertical="top"/>
    </xf>
    <xf numFmtId="2" fontId="12" fillId="0" borderId="1" xfId="0" applyNumberFormat="1" applyFont="1" applyBorder="1" applyAlignment="1">
      <alignment horizontal="center" vertical="top"/>
    </xf>
    <xf numFmtId="0" fontId="13" fillId="0" borderId="0" xfId="0" applyFont="1" applyAlignment="1">
      <alignment horizontal="right" vertical="top"/>
    </xf>
    <xf numFmtId="0" fontId="5" fillId="0" borderId="6" xfId="0" applyFont="1" applyBorder="1" applyAlignment="1">
      <alignment horizontal="center" vertical="top"/>
    </xf>
    <xf numFmtId="2" fontId="12" fillId="0" borderId="8" xfId="0" applyNumberFormat="1" applyFont="1" applyBorder="1" applyAlignment="1">
      <alignment horizontal="center" vertical="top"/>
    </xf>
    <xf numFmtId="2" fontId="6" fillId="0" borderId="8" xfId="0" applyNumberFormat="1" applyFont="1" applyBorder="1" applyAlignment="1">
      <alignment horizontal="center" vertical="top" wrapText="1"/>
    </xf>
    <xf numFmtId="2" fontId="5" fillId="0" borderId="7" xfId="0" applyNumberFormat="1" applyFont="1" applyBorder="1" applyAlignment="1">
      <alignment horizontal="center" vertical="top"/>
    </xf>
  </cellXfs>
  <cellStyles count="6">
    <cellStyle name="Hipervínculo 2" xfId="2" xr:uid="{31AB4584-48B5-483C-8AA6-C2DF10B27C24}"/>
    <cellStyle name="Hyperlink" xfId="1" builtinId="8"/>
    <cellStyle name="Millares 2" xfId="5" xr:uid="{B2346456-3EA3-414B-995D-FAA581EEA6A8}"/>
    <cellStyle name="Normal" xfId="0" builtinId="0"/>
    <cellStyle name="Normal 2" xfId="4" xr:uid="{5BE8A7FD-F8F9-4363-89EA-43A3CEB9DCAE}"/>
    <cellStyle name="Normal 3" xfId="3" xr:uid="{1BD222BC-86EE-4D01-AA8D-83508C777D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Calificacion!$B$2</c:f>
          <c:strCache>
            <c:ptCount val="1"/>
            <c:pt idx="0">
              <c:v>Calificación: 3.3. Definición de parámetros hidráulicos y condiciones de frontera</c:v>
            </c:pt>
          </c:strCache>
        </c:strRef>
      </c:tx>
      <c:layout>
        <c:manualLayout>
          <c:xMode val="edge"/>
          <c:yMode val="edge"/>
          <c:x val="0.1714820740424379"/>
          <c:y val="2.446205947601650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0.13451837270341208"/>
          <c:y val="0.15764567901234569"/>
          <c:w val="0.83492607174103239"/>
          <c:h val="0.49416759259259257"/>
        </c:manualLayout>
      </c:layout>
      <c:barChart>
        <c:barDir val="col"/>
        <c:grouping val="clustered"/>
        <c:varyColors val="0"/>
        <c:ser>
          <c:idx val="1"/>
          <c:order val="0"/>
          <c:tx>
            <c:strRef>
              <c:f>Calificacion!$F$4</c:f>
              <c:strCache>
                <c:ptCount val="1"/>
                <c:pt idx="0">
                  <c:v>Calificación final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Calificacion!$B$5:$B$9</c:f>
              <c:strCache>
                <c:ptCount val="5"/>
                <c:pt idx="0">
                  <c:v>Grupo 1</c:v>
                </c:pt>
                <c:pt idx="1">
                  <c:v>Grupo 2</c:v>
                </c:pt>
                <c:pt idx="2">
                  <c:v>Grupo 3</c:v>
                </c:pt>
                <c:pt idx="3">
                  <c:v>Grupo 4</c:v>
                </c:pt>
                <c:pt idx="4">
                  <c:v>Grupo 5</c:v>
                </c:pt>
              </c:strCache>
            </c:strRef>
          </c:cat>
          <c:val>
            <c:numRef>
              <c:f>Calificacion!$F$5:$F$9</c:f>
              <c:numCache>
                <c:formatCode>0.00</c:formatCode>
                <c:ptCount val="5"/>
                <c:pt idx="0">
                  <c:v>3.6</c:v>
                </c:pt>
                <c:pt idx="1">
                  <c:v>5</c:v>
                </c:pt>
                <c:pt idx="2">
                  <c:v>4.7</c:v>
                </c:pt>
                <c:pt idx="3">
                  <c:v>5</c:v>
                </c:pt>
                <c:pt idx="4">
                  <c:v>4.2</c:v>
                </c:pt>
              </c:numCache>
            </c:numRef>
          </c:val>
          <c:extLst>
            <c:ext xmlns:c16="http://schemas.microsoft.com/office/drawing/2014/chart" uri="{C3380CC4-5D6E-409C-BE32-E72D297353CC}">
              <c16:uniqueId val="{00000000-0008-400B-A26E-B3EF2ECD9D62}"/>
            </c:ext>
          </c:extLst>
        </c:ser>
        <c:dLbls>
          <c:showLegendKey val="0"/>
          <c:showVal val="0"/>
          <c:showCatName val="0"/>
          <c:showSerName val="0"/>
          <c:showPercent val="0"/>
          <c:showBubbleSize val="0"/>
        </c:dLbls>
        <c:gapWidth val="50"/>
        <c:axId val="693552272"/>
        <c:axId val="693552600"/>
      </c:barChart>
      <c:catAx>
        <c:axId val="693552272"/>
        <c:scaling>
          <c:orientation val="minMax"/>
        </c:scaling>
        <c:delete val="0"/>
        <c:axPos val="b"/>
        <c:majorGridlines>
          <c:spPr>
            <a:ln w="6350" cap="flat" cmpd="sng" algn="ctr">
              <a:solidFill>
                <a:schemeClr val="bg1">
                  <a:lumMod val="95000"/>
                </a:schemeClr>
              </a:solidFill>
              <a:prstDash val="sysDot"/>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Código</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6350"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93552600"/>
        <c:crosses val="autoZero"/>
        <c:auto val="1"/>
        <c:lblAlgn val="ctr"/>
        <c:lblOffset val="100"/>
        <c:noMultiLvlLbl val="0"/>
      </c:catAx>
      <c:valAx>
        <c:axId val="693552600"/>
        <c:scaling>
          <c:orientation val="minMax"/>
          <c:max val="5"/>
          <c:min val="0"/>
        </c:scaling>
        <c:delete val="0"/>
        <c:axPos val="l"/>
        <c:majorGridlines>
          <c:spPr>
            <a:ln w="6350" cap="flat" cmpd="sng" algn="ctr">
              <a:solidFill>
                <a:schemeClr val="bg1">
                  <a:lumMod val="9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Calificación</a:t>
                </a:r>
              </a:p>
            </c:rich>
          </c:tx>
          <c:layout>
            <c:manualLayout>
              <c:xMode val="edge"/>
              <c:yMode val="edge"/>
              <c:x val="1.721592592592593E-2"/>
              <c:y val="0.380342499999999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0.00" sourceLinked="1"/>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9355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210633</xdr:colOff>
      <xdr:row>3</xdr:row>
      <xdr:rowOff>116301</xdr:rowOff>
    </xdr:from>
    <xdr:to>
      <xdr:col>14</xdr:col>
      <xdr:colOff>277614</xdr:colOff>
      <xdr:row>18</xdr:row>
      <xdr:rowOff>11561</xdr:rowOff>
    </xdr:to>
    <xdr:graphicFrame macro="">
      <xdr:nvGraphicFramePr>
        <xdr:cNvPr id="2" name="Gráfico 1">
          <a:extLst>
            <a:ext uri="{FF2B5EF4-FFF2-40B4-BE49-F238E27FC236}">
              <a16:creationId xmlns:a16="http://schemas.microsoft.com/office/drawing/2014/main" id="{C2678CA2-DF7A-4F74-9EC7-9B9C21E9A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50BAE-D7A1-4B9B-8511-69070389923C}">
  <sheetPr codeName="Hoja2"/>
  <dimension ref="B1:F21"/>
  <sheetViews>
    <sheetView showGridLines="0" zoomScale="130" zoomScaleNormal="130" workbookViewId="0">
      <selection activeCell="H4" sqref="H4"/>
    </sheetView>
  </sheetViews>
  <sheetFormatPr defaultColWidth="11.3984375" defaultRowHeight="15.4" x14ac:dyDescent="0.45"/>
  <cols>
    <col min="1" max="1" width="2.6640625" style="12" customWidth="1"/>
    <col min="2" max="2" width="19.53125" style="12" customWidth="1"/>
    <col min="3" max="6" width="12.86328125" style="12" customWidth="1"/>
    <col min="7" max="7" width="2.6640625" style="12" customWidth="1"/>
    <col min="8" max="16384" width="11.3984375" style="12"/>
  </cols>
  <sheetData>
    <row r="1" spans="2:6" x14ac:dyDescent="0.45">
      <c r="F1" s="41" t="s">
        <v>38</v>
      </c>
    </row>
    <row r="2" spans="2:6" ht="14.25" customHeight="1" x14ac:dyDescent="0.45">
      <c r="B2" s="32" t="s">
        <v>28</v>
      </c>
      <c r="C2" s="32"/>
      <c r="D2" s="32"/>
      <c r="E2" s="32"/>
      <c r="F2" s="32"/>
    </row>
    <row r="3" spans="2:6" ht="16.5" customHeight="1" x14ac:dyDescent="0.45">
      <c r="B3" s="33"/>
      <c r="C3" s="33"/>
      <c r="D3" s="33"/>
      <c r="E3" s="33"/>
      <c r="F3" s="33"/>
    </row>
    <row r="4" spans="2:6" ht="33" x14ac:dyDescent="0.45">
      <c r="B4" s="23" t="s">
        <v>2</v>
      </c>
      <c r="C4" s="24" t="s">
        <v>9</v>
      </c>
      <c r="D4" s="29" t="s">
        <v>12</v>
      </c>
      <c r="E4" s="29" t="s">
        <v>13</v>
      </c>
      <c r="F4" s="25" t="s">
        <v>10</v>
      </c>
    </row>
    <row r="5" spans="2:6" x14ac:dyDescent="0.45">
      <c r="B5" s="11" t="s">
        <v>14</v>
      </c>
      <c r="C5" s="40">
        <v>5</v>
      </c>
      <c r="D5" s="26">
        <f>Detalle!C10*C5/5</f>
        <v>3.6</v>
      </c>
      <c r="E5" s="40"/>
      <c r="F5" s="27">
        <f>AVERAGE(D5:E5)</f>
        <v>3.6</v>
      </c>
    </row>
    <row r="6" spans="2:6" x14ac:dyDescent="0.45">
      <c r="B6" s="11" t="s">
        <v>15</v>
      </c>
      <c r="C6" s="40">
        <v>5</v>
      </c>
      <c r="D6" s="26">
        <f>Detalle!F10*C6/5</f>
        <v>5</v>
      </c>
      <c r="E6" s="40"/>
      <c r="F6" s="27">
        <f t="shared" ref="F6:F18" si="0">AVERAGE(D6:E6)</f>
        <v>5</v>
      </c>
    </row>
    <row r="7" spans="2:6" x14ac:dyDescent="0.45">
      <c r="B7" s="11" t="s">
        <v>16</v>
      </c>
      <c r="C7" s="40">
        <v>5</v>
      </c>
      <c r="D7" s="26">
        <f>Detalle!I10*C7/5</f>
        <v>4.7</v>
      </c>
      <c r="E7" s="40"/>
      <c r="F7" s="27">
        <f t="shared" si="0"/>
        <v>4.7</v>
      </c>
    </row>
    <row r="8" spans="2:6" x14ac:dyDescent="0.45">
      <c r="B8" s="11" t="s">
        <v>17</v>
      </c>
      <c r="C8" s="40">
        <v>5</v>
      </c>
      <c r="D8" s="26">
        <f>Detalle!L10*C8/5</f>
        <v>5</v>
      </c>
      <c r="E8" s="40"/>
      <c r="F8" s="27">
        <f t="shared" si="0"/>
        <v>5</v>
      </c>
    </row>
    <row r="9" spans="2:6" x14ac:dyDescent="0.45">
      <c r="B9" s="11" t="s">
        <v>18</v>
      </c>
      <c r="C9" s="40">
        <v>5</v>
      </c>
      <c r="D9" s="26">
        <f>Detalle!O10*C9/5</f>
        <v>4.2</v>
      </c>
      <c r="E9" s="40"/>
      <c r="F9" s="27">
        <f t="shared" si="0"/>
        <v>4.2</v>
      </c>
    </row>
    <row r="10" spans="2:6" x14ac:dyDescent="0.45">
      <c r="B10" s="11" t="s">
        <v>29</v>
      </c>
      <c r="C10" s="40">
        <v>5</v>
      </c>
      <c r="D10" s="26">
        <f>Detalle!R10*C10/5</f>
        <v>0</v>
      </c>
      <c r="E10" s="40"/>
      <c r="F10" s="27">
        <f t="shared" si="0"/>
        <v>0</v>
      </c>
    </row>
    <row r="11" spans="2:6" x14ac:dyDescent="0.45">
      <c r="B11" s="11" t="s">
        <v>30</v>
      </c>
      <c r="C11" s="40">
        <v>5</v>
      </c>
      <c r="D11" s="26">
        <f>Detalle!U10*C11/5</f>
        <v>0</v>
      </c>
      <c r="E11" s="40"/>
      <c r="F11" s="27">
        <f t="shared" si="0"/>
        <v>0</v>
      </c>
    </row>
    <row r="12" spans="2:6" x14ac:dyDescent="0.45">
      <c r="B12" s="11" t="s">
        <v>31</v>
      </c>
      <c r="C12" s="40">
        <v>5</v>
      </c>
      <c r="D12" s="26">
        <f>Detalle!X10*C12/5</f>
        <v>0</v>
      </c>
      <c r="E12" s="40"/>
      <c r="F12" s="27">
        <f t="shared" si="0"/>
        <v>0</v>
      </c>
    </row>
    <row r="13" spans="2:6" x14ac:dyDescent="0.45">
      <c r="B13" s="11" t="s">
        <v>32</v>
      </c>
      <c r="C13" s="40">
        <v>5</v>
      </c>
      <c r="D13" s="26">
        <f>Detalle!AA10*C13/5</f>
        <v>0</v>
      </c>
      <c r="E13" s="40"/>
      <c r="F13" s="27">
        <f t="shared" si="0"/>
        <v>0</v>
      </c>
    </row>
    <row r="14" spans="2:6" x14ac:dyDescent="0.45">
      <c r="B14" s="11" t="s">
        <v>33</v>
      </c>
      <c r="C14" s="40">
        <v>5</v>
      </c>
      <c r="D14" s="26">
        <f>Detalle!AD10*C14/5</f>
        <v>0</v>
      </c>
      <c r="E14" s="40"/>
      <c r="F14" s="27">
        <f t="shared" si="0"/>
        <v>0</v>
      </c>
    </row>
    <row r="15" spans="2:6" x14ac:dyDescent="0.45">
      <c r="B15" s="11" t="s">
        <v>34</v>
      </c>
      <c r="C15" s="40">
        <v>5</v>
      </c>
      <c r="D15" s="26">
        <f>Detalle!AG10*C15/5</f>
        <v>0</v>
      </c>
      <c r="E15" s="40"/>
      <c r="F15" s="27">
        <f t="shared" si="0"/>
        <v>0</v>
      </c>
    </row>
    <row r="16" spans="2:6" x14ac:dyDescent="0.45">
      <c r="B16" s="11" t="s">
        <v>35</v>
      </c>
      <c r="C16" s="40">
        <v>5</v>
      </c>
      <c r="D16" s="26">
        <f>Detalle!AJ10*C16/5</f>
        <v>0</v>
      </c>
      <c r="E16" s="40"/>
      <c r="F16" s="27">
        <f t="shared" si="0"/>
        <v>0</v>
      </c>
    </row>
    <row r="17" spans="2:6" x14ac:dyDescent="0.45">
      <c r="B17" s="11" t="s">
        <v>36</v>
      </c>
      <c r="C17" s="40">
        <v>5</v>
      </c>
      <c r="D17" s="26">
        <f>Detalle!AM10*C17/5</f>
        <v>0</v>
      </c>
      <c r="E17" s="40"/>
      <c r="F17" s="27">
        <f t="shared" si="0"/>
        <v>0</v>
      </c>
    </row>
    <row r="18" spans="2:6" x14ac:dyDescent="0.45">
      <c r="B18" s="42" t="s">
        <v>37</v>
      </c>
      <c r="C18" s="43">
        <v>5</v>
      </c>
      <c r="D18" s="44">
        <f>Detalle!AP10*C18/5</f>
        <v>0</v>
      </c>
      <c r="E18" s="43"/>
      <c r="F18" s="45">
        <f t="shared" si="0"/>
        <v>0</v>
      </c>
    </row>
    <row r="19" spans="2:6" ht="14.25" customHeight="1" x14ac:dyDescent="0.45">
      <c r="B19" s="39" t="str">
        <f>HYPERLINK(_xlfn.CONCAT("https://github.com/rcfdtools/R.HCMC/blob/main/activity/",F1,"/Readme.md"),_xlfn.CONCAT("Ir a actividad ",F1," en GitHub."))</f>
        <v>Ir a actividad M03A03 en GitHub.</v>
      </c>
      <c r="C19" s="39"/>
      <c r="D19" s="39"/>
      <c r="E19" s="39"/>
      <c r="F19" s="39"/>
    </row>
    <row r="20" spans="2:6" x14ac:dyDescent="0.45">
      <c r="B20" s="39"/>
      <c r="C20" s="39"/>
      <c r="D20" s="39"/>
      <c r="E20" s="39"/>
      <c r="F20" s="39"/>
    </row>
    <row r="21" spans="2:6" x14ac:dyDescent="0.55000000000000004">
      <c r="B21" s="28"/>
      <c r="C21" s="28"/>
      <c r="D21" s="28"/>
      <c r="E21" s="28"/>
      <c r="F21" s="28"/>
    </row>
  </sheetData>
  <mergeCells count="3">
    <mergeCell ref="B2:F3"/>
    <mergeCell ref="B19:F19"/>
    <mergeCell ref="B20:F20"/>
  </mergeCells>
  <phoneticPr fontId="9"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87CE-896A-4E26-83D1-1610B3259376}">
  <sheetPr codeName="Hoja1"/>
  <dimension ref="A1:AR40"/>
  <sheetViews>
    <sheetView showGridLines="0" tabSelected="1" zoomScale="115" zoomScaleNormal="115" workbookViewId="0">
      <pane xSplit="2" ySplit="3" topLeftCell="L4" activePane="bottomRight" state="frozen"/>
      <selection pane="topRight" activeCell="C1" sqref="C1"/>
      <selection pane="bottomLeft" activeCell="A4" sqref="A4"/>
      <selection pane="bottomRight" activeCell="B4" sqref="B4"/>
    </sheetView>
  </sheetViews>
  <sheetFormatPr defaultColWidth="11.3984375" defaultRowHeight="15.4" x14ac:dyDescent="0.45"/>
  <cols>
    <col min="1" max="1" width="2.6640625" style="6" customWidth="1"/>
    <col min="2" max="2" width="60.6640625" style="5" customWidth="1"/>
    <col min="3" max="4" width="10.6640625" style="4" customWidth="1"/>
    <col min="5" max="5" width="50.6640625" style="4" customWidth="1"/>
    <col min="6" max="7" width="10.6640625" style="4" customWidth="1"/>
    <col min="8" max="8" width="50.6640625" style="4" customWidth="1"/>
    <col min="9" max="10" width="10.6640625" style="4" customWidth="1"/>
    <col min="11" max="11" width="50.6640625" style="4" customWidth="1"/>
    <col min="12" max="13" width="10.6640625" style="4" customWidth="1"/>
    <col min="14" max="14" width="50.6640625" style="4" customWidth="1"/>
    <col min="15" max="16" width="10.6640625" style="4" customWidth="1"/>
    <col min="17" max="17" width="50.6640625" style="4" customWidth="1"/>
    <col min="18" max="19" width="10.6640625" style="4" customWidth="1"/>
    <col min="20" max="20" width="50.6640625" style="4" customWidth="1"/>
    <col min="21" max="22" width="10.6640625" style="4" customWidth="1"/>
    <col min="23" max="23" width="50.6640625" style="4" customWidth="1"/>
    <col min="24" max="25" width="10.6640625" style="4" customWidth="1"/>
    <col min="26" max="26" width="50.6640625" style="4" customWidth="1"/>
    <col min="27" max="28" width="10.6640625" style="4" customWidth="1"/>
    <col min="29" max="29" width="50.6640625" style="4" customWidth="1"/>
    <col min="30" max="31" width="10.6640625" style="4" customWidth="1"/>
    <col min="32" max="32" width="50.6640625" style="4" customWidth="1"/>
    <col min="33" max="34" width="10.6640625" style="4" customWidth="1"/>
    <col min="35" max="35" width="50.6640625" style="4" customWidth="1"/>
    <col min="36" max="37" width="10.6640625" style="4" customWidth="1"/>
    <col min="38" max="38" width="50.6640625" style="4" customWidth="1"/>
    <col min="39" max="40" width="10.6640625" style="4" customWidth="1"/>
    <col min="41" max="41" width="50.6640625" style="4" customWidth="1"/>
    <col min="42" max="43" width="10.6640625" style="4" customWidth="1"/>
    <col min="44" max="44" width="50.6640625" style="4" customWidth="1"/>
    <col min="45" max="45" width="11.3984375" style="5" customWidth="1"/>
    <col min="46" max="16384" width="11.3984375" style="5"/>
  </cols>
  <sheetData>
    <row r="1" spans="1:44" x14ac:dyDescent="0.45">
      <c r="A1" s="14"/>
      <c r="B1" s="13" t="str">
        <f>Calificacion!$B$2</f>
        <v>Calificación: 3.3. Definición de parámetros hidráulicos y condiciones de frontera</v>
      </c>
      <c r="C1" s="13"/>
      <c r="D1" s="13"/>
      <c r="F1" s="13"/>
      <c r="G1" s="13"/>
      <c r="I1" s="13"/>
      <c r="J1" s="13"/>
      <c r="L1" s="13"/>
      <c r="M1" s="13"/>
      <c r="O1" s="13"/>
      <c r="P1" s="13"/>
      <c r="R1" s="13"/>
      <c r="S1" s="13"/>
      <c r="U1" s="13"/>
      <c r="V1" s="13"/>
      <c r="X1" s="13"/>
      <c r="Y1" s="13"/>
      <c r="AA1" s="13"/>
      <c r="AB1" s="13"/>
      <c r="AD1" s="13"/>
      <c r="AE1" s="13"/>
      <c r="AG1" s="13"/>
      <c r="AH1" s="13"/>
      <c r="AJ1" s="13"/>
      <c r="AK1" s="13"/>
      <c r="AM1" s="13"/>
      <c r="AN1" s="13"/>
      <c r="AP1" s="13"/>
      <c r="AQ1" s="13"/>
    </row>
    <row r="2" spans="1:44" s="7" customFormat="1" x14ac:dyDescent="0.45">
      <c r="A2" s="6"/>
      <c r="B2" s="37" t="s">
        <v>3</v>
      </c>
      <c r="C2" s="34" t="str">
        <f>Calificacion!$B5</f>
        <v>Grupo 1</v>
      </c>
      <c r="D2" s="35"/>
      <c r="E2" s="36"/>
      <c r="F2" s="34" t="str">
        <f>Calificacion!$B6</f>
        <v>Grupo 2</v>
      </c>
      <c r="G2" s="35"/>
      <c r="H2" s="36"/>
      <c r="I2" s="34" t="str">
        <f>Calificacion!$B7</f>
        <v>Grupo 3</v>
      </c>
      <c r="J2" s="35"/>
      <c r="K2" s="36"/>
      <c r="L2" s="34" t="str">
        <f>Calificacion!$B8</f>
        <v>Grupo 4</v>
      </c>
      <c r="M2" s="35"/>
      <c r="N2" s="36"/>
      <c r="O2" s="34" t="str">
        <f>Calificacion!$B9</f>
        <v>Grupo 5</v>
      </c>
      <c r="P2" s="35"/>
      <c r="Q2" s="36"/>
      <c r="R2" s="34" t="str">
        <f>Calificacion!$B10</f>
        <v>Grupo 6</v>
      </c>
      <c r="S2" s="35"/>
      <c r="T2" s="36"/>
      <c r="U2" s="34" t="str">
        <f>Calificacion!$B11</f>
        <v>Grupo 7</v>
      </c>
      <c r="V2" s="35"/>
      <c r="W2" s="36"/>
      <c r="X2" s="34" t="str">
        <f>Calificacion!$B12</f>
        <v>Grupo 8</v>
      </c>
      <c r="Y2" s="35"/>
      <c r="Z2" s="36"/>
      <c r="AA2" s="34" t="str">
        <f>Calificacion!$B13</f>
        <v>Grupo 9</v>
      </c>
      <c r="AB2" s="35"/>
      <c r="AC2" s="36"/>
      <c r="AD2" s="34" t="str">
        <f>Calificacion!$B14</f>
        <v>Grupo 10</v>
      </c>
      <c r="AE2" s="35"/>
      <c r="AF2" s="36"/>
      <c r="AG2" s="34" t="str">
        <f>Calificacion!$B15</f>
        <v>Grupo 11</v>
      </c>
      <c r="AH2" s="35"/>
      <c r="AI2" s="36"/>
      <c r="AJ2" s="34" t="str">
        <f>Calificacion!$B16</f>
        <v>Grupo 12</v>
      </c>
      <c r="AK2" s="35"/>
      <c r="AL2" s="36"/>
      <c r="AM2" s="34" t="str">
        <f>Calificacion!$B17</f>
        <v>Grupo 13</v>
      </c>
      <c r="AN2" s="35"/>
      <c r="AO2" s="36"/>
      <c r="AP2" s="34" t="str">
        <f>Calificacion!$B18</f>
        <v>Grupo 14</v>
      </c>
      <c r="AQ2" s="35"/>
      <c r="AR2" s="36"/>
    </row>
    <row r="3" spans="1:44" x14ac:dyDescent="0.45">
      <c r="B3" s="38"/>
      <c r="C3" s="17" t="s">
        <v>1</v>
      </c>
      <c r="D3" s="8" t="s">
        <v>4</v>
      </c>
      <c r="E3" s="18" t="s">
        <v>0</v>
      </c>
      <c r="F3" s="17" t="s">
        <v>1</v>
      </c>
      <c r="G3" s="8" t="s">
        <v>4</v>
      </c>
      <c r="H3" s="18" t="s">
        <v>0</v>
      </c>
      <c r="I3" s="17" t="s">
        <v>1</v>
      </c>
      <c r="J3" s="8" t="s">
        <v>4</v>
      </c>
      <c r="K3" s="18" t="s">
        <v>0</v>
      </c>
      <c r="L3" s="17" t="s">
        <v>1</v>
      </c>
      <c r="M3" s="8" t="s">
        <v>4</v>
      </c>
      <c r="N3" s="18" t="s">
        <v>0</v>
      </c>
      <c r="O3" s="17" t="s">
        <v>1</v>
      </c>
      <c r="P3" s="8" t="s">
        <v>4</v>
      </c>
      <c r="Q3" s="18" t="s">
        <v>0</v>
      </c>
      <c r="R3" s="17" t="s">
        <v>1</v>
      </c>
      <c r="S3" s="8" t="s">
        <v>4</v>
      </c>
      <c r="T3" s="18" t="s">
        <v>0</v>
      </c>
      <c r="U3" s="17" t="s">
        <v>1</v>
      </c>
      <c r="V3" s="8" t="s">
        <v>4</v>
      </c>
      <c r="W3" s="18" t="s">
        <v>0</v>
      </c>
      <c r="X3" s="17" t="s">
        <v>1</v>
      </c>
      <c r="Y3" s="8" t="s">
        <v>4</v>
      </c>
      <c r="Z3" s="18" t="s">
        <v>0</v>
      </c>
      <c r="AA3" s="17" t="s">
        <v>1</v>
      </c>
      <c r="AB3" s="8" t="s">
        <v>4</v>
      </c>
      <c r="AC3" s="18" t="s">
        <v>0</v>
      </c>
      <c r="AD3" s="17" t="s">
        <v>1</v>
      </c>
      <c r="AE3" s="8" t="s">
        <v>4</v>
      </c>
      <c r="AF3" s="18" t="s">
        <v>0</v>
      </c>
      <c r="AG3" s="17" t="s">
        <v>1</v>
      </c>
      <c r="AH3" s="8" t="s">
        <v>4</v>
      </c>
      <c r="AI3" s="18" t="s">
        <v>0</v>
      </c>
      <c r="AJ3" s="17" t="s">
        <v>1</v>
      </c>
      <c r="AK3" s="8" t="s">
        <v>4</v>
      </c>
      <c r="AL3" s="18" t="s">
        <v>0</v>
      </c>
      <c r="AM3" s="17" t="s">
        <v>1</v>
      </c>
      <c r="AN3" s="8" t="s">
        <v>4</v>
      </c>
      <c r="AO3" s="18" t="s">
        <v>0</v>
      </c>
      <c r="AP3" s="17" t="s">
        <v>1</v>
      </c>
      <c r="AQ3" s="8" t="s">
        <v>4</v>
      </c>
      <c r="AR3" s="18" t="s">
        <v>0</v>
      </c>
    </row>
    <row r="4" spans="1:44" ht="102.4" customHeight="1" x14ac:dyDescent="0.45">
      <c r="B4" s="15" t="s">
        <v>5</v>
      </c>
      <c r="C4" s="19">
        <v>5</v>
      </c>
      <c r="D4" s="9"/>
      <c r="E4" s="22" t="s">
        <v>22</v>
      </c>
      <c r="F4" s="19">
        <v>5</v>
      </c>
      <c r="G4" s="9"/>
      <c r="H4" s="10"/>
      <c r="I4" s="19">
        <v>5</v>
      </c>
      <c r="J4" s="9"/>
      <c r="K4" s="10"/>
      <c r="L4" s="19">
        <v>5</v>
      </c>
      <c r="M4" s="9"/>
      <c r="N4" s="10"/>
      <c r="O4" s="19">
        <v>5</v>
      </c>
      <c r="P4" s="9"/>
      <c r="Q4" s="31" t="s">
        <v>25</v>
      </c>
      <c r="R4" s="19">
        <v>0</v>
      </c>
      <c r="S4" s="9"/>
      <c r="T4" s="10"/>
      <c r="U4" s="19">
        <v>0</v>
      </c>
      <c r="V4" s="9"/>
      <c r="W4" s="10"/>
      <c r="X4" s="19">
        <v>0</v>
      </c>
      <c r="Y4" s="9"/>
      <c r="Z4" s="10"/>
      <c r="AA4" s="19">
        <v>0</v>
      </c>
      <c r="AB4" s="9"/>
      <c r="AC4" s="10"/>
      <c r="AD4" s="19">
        <v>0</v>
      </c>
      <c r="AE4" s="9"/>
      <c r="AF4" s="10"/>
      <c r="AG4" s="19">
        <v>0</v>
      </c>
      <c r="AH4" s="9"/>
      <c r="AI4" s="10"/>
      <c r="AJ4" s="19">
        <v>0</v>
      </c>
      <c r="AK4" s="9"/>
      <c r="AL4" s="10"/>
      <c r="AM4" s="19">
        <v>0</v>
      </c>
      <c r="AN4" s="9"/>
      <c r="AO4" s="10"/>
      <c r="AP4" s="19">
        <v>0</v>
      </c>
      <c r="AQ4" s="9"/>
      <c r="AR4" s="10"/>
    </row>
    <row r="5" spans="1:44" ht="92.2" customHeight="1" x14ac:dyDescent="0.45">
      <c r="B5" s="15" t="s">
        <v>6</v>
      </c>
      <c r="C5" s="19">
        <v>5</v>
      </c>
      <c r="D5" s="9"/>
      <c r="E5" s="22" t="s">
        <v>19</v>
      </c>
      <c r="F5" s="19">
        <v>5</v>
      </c>
      <c r="G5" s="9"/>
      <c r="H5" s="10"/>
      <c r="I5" s="30">
        <v>3.5</v>
      </c>
      <c r="J5" s="9"/>
      <c r="K5" s="22" t="s">
        <v>24</v>
      </c>
      <c r="L5" s="19">
        <v>5</v>
      </c>
      <c r="M5" s="9"/>
      <c r="N5" s="10"/>
      <c r="O5" s="30">
        <v>3</v>
      </c>
      <c r="P5" s="9"/>
      <c r="Q5" s="22" t="s">
        <v>26</v>
      </c>
      <c r="R5" s="19">
        <v>0</v>
      </c>
      <c r="S5" s="9"/>
      <c r="T5" s="10"/>
      <c r="U5" s="19">
        <v>0</v>
      </c>
      <c r="V5" s="9"/>
      <c r="W5" s="10"/>
      <c r="X5" s="19">
        <v>0</v>
      </c>
      <c r="Y5" s="9"/>
      <c r="Z5" s="10"/>
      <c r="AA5" s="19">
        <v>0</v>
      </c>
      <c r="AB5" s="9"/>
      <c r="AC5" s="10"/>
      <c r="AD5" s="19">
        <v>0</v>
      </c>
      <c r="AE5" s="9"/>
      <c r="AF5" s="10"/>
      <c r="AG5" s="19">
        <v>0</v>
      </c>
      <c r="AH5" s="9"/>
      <c r="AI5" s="10"/>
      <c r="AJ5" s="19">
        <v>0</v>
      </c>
      <c r="AK5" s="9"/>
      <c r="AL5" s="10"/>
      <c r="AM5" s="19">
        <v>0</v>
      </c>
      <c r="AN5" s="9"/>
      <c r="AO5" s="10"/>
      <c r="AP5" s="19">
        <v>0</v>
      </c>
      <c r="AQ5" s="9"/>
      <c r="AR5" s="10"/>
    </row>
    <row r="6" spans="1:44" ht="106.35" customHeight="1" x14ac:dyDescent="0.45">
      <c r="B6" s="15" t="s">
        <v>8</v>
      </c>
      <c r="C6" s="30">
        <v>4</v>
      </c>
      <c r="D6" s="9"/>
      <c r="E6" s="22" t="s">
        <v>20</v>
      </c>
      <c r="F6" s="19">
        <v>5</v>
      </c>
      <c r="G6" s="9"/>
      <c r="H6" s="22" t="s">
        <v>23</v>
      </c>
      <c r="I6" s="19">
        <v>5</v>
      </c>
      <c r="J6" s="9"/>
      <c r="K6" s="22"/>
      <c r="L6" s="19">
        <v>5</v>
      </c>
      <c r="M6" s="9"/>
      <c r="N6" s="22"/>
      <c r="O6" s="30">
        <v>3</v>
      </c>
      <c r="P6" s="9"/>
      <c r="Q6" s="22" t="s">
        <v>27</v>
      </c>
      <c r="R6" s="19">
        <v>0</v>
      </c>
      <c r="S6" s="9"/>
      <c r="T6" s="22"/>
      <c r="U6" s="19">
        <v>0</v>
      </c>
      <c r="V6" s="9"/>
      <c r="W6" s="22"/>
      <c r="X6" s="19">
        <v>0</v>
      </c>
      <c r="Y6" s="9"/>
      <c r="Z6" s="22"/>
      <c r="AA6" s="19">
        <v>0</v>
      </c>
      <c r="AB6" s="9"/>
      <c r="AC6" s="22"/>
      <c r="AD6" s="19">
        <v>0</v>
      </c>
      <c r="AE6" s="9"/>
      <c r="AF6" s="22"/>
      <c r="AG6" s="19">
        <v>0</v>
      </c>
      <c r="AH6" s="9"/>
      <c r="AI6" s="22"/>
      <c r="AJ6" s="19">
        <v>0</v>
      </c>
      <c r="AK6" s="9"/>
      <c r="AL6" s="22"/>
      <c r="AM6" s="19">
        <v>0</v>
      </c>
      <c r="AN6" s="9"/>
      <c r="AO6" s="22"/>
      <c r="AP6" s="19">
        <v>0</v>
      </c>
      <c r="AQ6" s="9"/>
      <c r="AR6" s="22"/>
    </row>
    <row r="7" spans="1:44" ht="30.75" x14ac:dyDescent="0.45">
      <c r="B7" s="15" t="s">
        <v>7</v>
      </c>
      <c r="C7" s="30">
        <v>0</v>
      </c>
      <c r="D7" s="9"/>
      <c r="E7" s="22" t="s">
        <v>19</v>
      </c>
      <c r="F7" s="19">
        <v>5</v>
      </c>
      <c r="G7" s="9"/>
      <c r="H7" s="10"/>
      <c r="I7" s="19">
        <v>5</v>
      </c>
      <c r="J7" s="9"/>
      <c r="K7" s="10"/>
      <c r="L7" s="19">
        <v>5</v>
      </c>
      <c r="M7" s="9"/>
      <c r="N7" s="22"/>
      <c r="O7" s="19">
        <v>5</v>
      </c>
      <c r="P7" s="9"/>
      <c r="Q7" s="10"/>
      <c r="R7" s="19">
        <v>0</v>
      </c>
      <c r="S7" s="9"/>
      <c r="T7" s="10"/>
      <c r="U7" s="19">
        <v>0</v>
      </c>
      <c r="V7" s="9"/>
      <c r="W7" s="10"/>
      <c r="X7" s="19">
        <v>0</v>
      </c>
      <c r="Y7" s="9"/>
      <c r="Z7" s="10"/>
      <c r="AA7" s="19">
        <v>0</v>
      </c>
      <c r="AB7" s="9"/>
      <c r="AC7" s="10"/>
      <c r="AD7" s="19">
        <v>0</v>
      </c>
      <c r="AE7" s="9"/>
      <c r="AF7" s="10"/>
      <c r="AG7" s="19">
        <v>0</v>
      </c>
      <c r="AH7" s="9"/>
      <c r="AI7" s="10"/>
      <c r="AJ7" s="19">
        <v>0</v>
      </c>
      <c r="AK7" s="9"/>
      <c r="AL7" s="10"/>
      <c r="AM7" s="19">
        <v>0</v>
      </c>
      <c r="AN7" s="9"/>
      <c r="AO7" s="10"/>
      <c r="AP7" s="19">
        <v>0</v>
      </c>
      <c r="AQ7" s="9"/>
      <c r="AR7" s="10"/>
    </row>
    <row r="8" spans="1:44" ht="76.349999999999994" customHeight="1" x14ac:dyDescent="0.45">
      <c r="B8" s="15" t="s">
        <v>11</v>
      </c>
      <c r="C8" s="30">
        <v>4</v>
      </c>
      <c r="D8" s="9"/>
      <c r="E8" s="22" t="s">
        <v>21</v>
      </c>
      <c r="F8" s="19">
        <v>5</v>
      </c>
      <c r="G8" s="9"/>
      <c r="H8" s="10"/>
      <c r="I8" s="19">
        <v>5</v>
      </c>
      <c r="J8" s="9"/>
      <c r="K8" s="10"/>
      <c r="L8" s="19">
        <v>5</v>
      </c>
      <c r="M8" s="9"/>
      <c r="N8" s="10"/>
      <c r="O8" s="19">
        <v>5</v>
      </c>
      <c r="P8" s="9"/>
      <c r="Q8" s="10"/>
      <c r="R8" s="19">
        <v>0</v>
      </c>
      <c r="S8" s="9"/>
      <c r="T8" s="10"/>
      <c r="U8" s="19">
        <v>0</v>
      </c>
      <c r="V8" s="9"/>
      <c r="W8" s="10"/>
      <c r="X8" s="19">
        <v>0</v>
      </c>
      <c r="Y8" s="9"/>
      <c r="Z8" s="10"/>
      <c r="AA8" s="19">
        <v>0</v>
      </c>
      <c r="AB8" s="9"/>
      <c r="AC8" s="10"/>
      <c r="AD8" s="19">
        <v>0</v>
      </c>
      <c r="AE8" s="9"/>
      <c r="AF8" s="10"/>
      <c r="AG8" s="19">
        <v>0</v>
      </c>
      <c r="AH8" s="9"/>
      <c r="AI8" s="10"/>
      <c r="AJ8" s="19">
        <v>0</v>
      </c>
      <c r="AK8" s="9"/>
      <c r="AL8" s="10"/>
      <c r="AM8" s="19">
        <v>0</v>
      </c>
      <c r="AN8" s="9"/>
      <c r="AO8" s="10"/>
      <c r="AP8" s="19">
        <v>0</v>
      </c>
      <c r="AQ8" s="9"/>
      <c r="AR8" s="10"/>
    </row>
    <row r="9" spans="1:44" x14ac:dyDescent="0.45">
      <c r="B9" s="15"/>
      <c r="C9" s="19"/>
      <c r="D9" s="9"/>
      <c r="E9" s="10"/>
      <c r="F9" s="19"/>
      <c r="G9" s="9"/>
      <c r="H9" s="10"/>
      <c r="I9" s="19"/>
      <c r="J9" s="9"/>
      <c r="K9" s="10"/>
      <c r="L9" s="19"/>
      <c r="M9" s="9"/>
      <c r="N9" s="10"/>
      <c r="O9" s="19"/>
      <c r="P9" s="9"/>
      <c r="Q9" s="10"/>
      <c r="R9" s="19"/>
      <c r="S9" s="9"/>
      <c r="T9" s="10"/>
      <c r="U9" s="19"/>
      <c r="V9" s="9"/>
      <c r="W9" s="10"/>
      <c r="X9" s="19"/>
      <c r="Y9" s="9"/>
      <c r="Z9" s="10"/>
      <c r="AA9" s="19"/>
      <c r="AB9" s="9"/>
      <c r="AC9" s="10"/>
      <c r="AD9" s="19"/>
      <c r="AE9" s="9"/>
      <c r="AF9" s="10"/>
      <c r="AG9" s="19"/>
      <c r="AH9" s="9"/>
      <c r="AI9" s="10"/>
      <c r="AJ9" s="19"/>
      <c r="AK9" s="9"/>
      <c r="AL9" s="10"/>
      <c r="AM9" s="19"/>
      <c r="AN9" s="9"/>
      <c r="AO9" s="10"/>
      <c r="AP9" s="19"/>
      <c r="AQ9" s="9"/>
      <c r="AR9" s="10"/>
    </row>
    <row r="10" spans="1:44" s="2" customFormat="1" x14ac:dyDescent="0.45">
      <c r="A10" s="1"/>
      <c r="B10" s="16" t="s">
        <v>1</v>
      </c>
      <c r="C10" s="20">
        <f>AVERAGE(C4:C9)</f>
        <v>3.6</v>
      </c>
      <c r="D10" s="3"/>
      <c r="E10" s="21"/>
      <c r="F10" s="20">
        <f>AVERAGE(F4:F9)</f>
        <v>5</v>
      </c>
      <c r="G10" s="3"/>
      <c r="H10" s="21"/>
      <c r="I10" s="20">
        <f>AVERAGE(I4:I9)</f>
        <v>4.7</v>
      </c>
      <c r="J10" s="3"/>
      <c r="K10" s="21"/>
      <c r="L10" s="20">
        <f>AVERAGE(L4:L9)</f>
        <v>5</v>
      </c>
      <c r="M10" s="3"/>
      <c r="N10" s="21"/>
      <c r="O10" s="20">
        <f>AVERAGE(O4:O9)</f>
        <v>4.2</v>
      </c>
      <c r="P10" s="3"/>
      <c r="Q10" s="21"/>
      <c r="R10" s="20">
        <f>AVERAGE(R4:R9)</f>
        <v>0</v>
      </c>
      <c r="S10" s="3"/>
      <c r="T10" s="21"/>
      <c r="U10" s="20">
        <f>AVERAGE(U4:U9)</f>
        <v>0</v>
      </c>
      <c r="V10" s="3"/>
      <c r="W10" s="21"/>
      <c r="X10" s="20">
        <f>AVERAGE(X4:X9)</f>
        <v>0</v>
      </c>
      <c r="Y10" s="3"/>
      <c r="Z10" s="21"/>
      <c r="AA10" s="20">
        <f>AVERAGE(AA4:AA9)</f>
        <v>0</v>
      </c>
      <c r="AB10" s="3"/>
      <c r="AC10" s="21"/>
      <c r="AD10" s="20">
        <f>AVERAGE(AD4:AD9)</f>
        <v>0</v>
      </c>
      <c r="AE10" s="3"/>
      <c r="AF10" s="21"/>
      <c r="AG10" s="20">
        <f>AVERAGE(AG4:AG9)</f>
        <v>0</v>
      </c>
      <c r="AH10" s="3"/>
      <c r="AI10" s="21"/>
      <c r="AJ10" s="20">
        <f>AVERAGE(AJ4:AJ9)</f>
        <v>0</v>
      </c>
      <c r="AK10" s="3"/>
      <c r="AL10" s="21"/>
      <c r="AM10" s="20">
        <f>AVERAGE(AM4:AM9)</f>
        <v>0</v>
      </c>
      <c r="AN10" s="3"/>
      <c r="AO10" s="21"/>
      <c r="AP10" s="20">
        <f>AVERAGE(AP4:AP9)</f>
        <v>0</v>
      </c>
      <c r="AQ10" s="3"/>
      <c r="AR10" s="21"/>
    </row>
    <row r="11" spans="1:44" s="6" customFormat="1" x14ac:dyDescent="0.45">
      <c r="B11" s="5"/>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row>
    <row r="12" spans="1:44" s="6" customFormat="1" x14ac:dyDescent="0.45">
      <c r="B12" s="5"/>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row>
    <row r="13" spans="1:44" s="6" customFormat="1" x14ac:dyDescent="0.45">
      <c r="B13" s="5"/>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row>
    <row r="14" spans="1:44" s="6" customFormat="1" x14ac:dyDescent="0.45">
      <c r="B14" s="5"/>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row>
    <row r="15" spans="1:44" s="6" customFormat="1" x14ac:dyDescent="0.45">
      <c r="B15" s="5"/>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row>
    <row r="16" spans="1:44" s="6" customFormat="1" x14ac:dyDescent="0.45">
      <c r="B16" s="5"/>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row>
    <row r="17" spans="2:44" s="6" customFormat="1" x14ac:dyDescent="0.45">
      <c r="B17" s="5"/>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row>
    <row r="18" spans="2:44" s="6" customFormat="1" x14ac:dyDescent="0.45">
      <c r="B18" s="5"/>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row>
    <row r="19" spans="2:44" s="6" customFormat="1" x14ac:dyDescent="0.45">
      <c r="B19" s="5"/>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row>
    <row r="20" spans="2:44" s="6" customFormat="1" x14ac:dyDescent="0.45">
      <c r="B20" s="5"/>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row>
    <row r="21" spans="2:44" s="6" customFormat="1" x14ac:dyDescent="0.45">
      <c r="B21" s="5"/>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row>
    <row r="22" spans="2:44" s="6" customFormat="1" x14ac:dyDescent="0.45">
      <c r="B22" s="5"/>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row>
    <row r="23" spans="2:44" s="6" customFormat="1" x14ac:dyDescent="0.45">
      <c r="B23" s="5"/>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row>
    <row r="24" spans="2:44" s="6" customFormat="1" x14ac:dyDescent="0.45">
      <c r="B24" s="5"/>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row>
    <row r="25" spans="2:44" s="6" customFormat="1" x14ac:dyDescent="0.45">
      <c r="B25" s="5"/>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row>
    <row r="26" spans="2:44" s="6" customFormat="1" x14ac:dyDescent="0.45">
      <c r="B26" s="5"/>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row>
    <row r="27" spans="2:44" s="6" customFormat="1" x14ac:dyDescent="0.45">
      <c r="B27" s="5"/>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row>
    <row r="28" spans="2:44" s="6" customFormat="1" x14ac:dyDescent="0.45">
      <c r="B28" s="5"/>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row>
    <row r="29" spans="2:44" s="6" customFormat="1" x14ac:dyDescent="0.45">
      <c r="B29" s="5"/>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row>
    <row r="30" spans="2:44" s="6" customFormat="1" x14ac:dyDescent="0.45">
      <c r="B30" s="5"/>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row>
    <row r="31" spans="2:44" s="6" customFormat="1" x14ac:dyDescent="0.45">
      <c r="B31" s="5"/>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row>
    <row r="32" spans="2:44" s="6" customFormat="1" x14ac:dyDescent="0.45">
      <c r="B32" s="5"/>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row>
    <row r="33" spans="2:44" s="6" customFormat="1" x14ac:dyDescent="0.45">
      <c r="B33" s="5"/>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row>
    <row r="34" spans="2:44" s="6" customFormat="1" x14ac:dyDescent="0.45">
      <c r="B34" s="5"/>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row>
    <row r="35" spans="2:44" s="6" customFormat="1" x14ac:dyDescent="0.45">
      <c r="B35" s="5"/>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row>
    <row r="36" spans="2:44" s="6" customFormat="1" x14ac:dyDescent="0.45">
      <c r="B36" s="5"/>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row>
    <row r="37" spans="2:44" s="6" customFormat="1" x14ac:dyDescent="0.45">
      <c r="B37" s="5"/>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row>
    <row r="38" spans="2:44" s="6" customFormat="1" x14ac:dyDescent="0.45">
      <c r="B38" s="5"/>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row>
    <row r="39" spans="2:44" s="6" customFormat="1" x14ac:dyDescent="0.45">
      <c r="B39" s="5"/>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row>
    <row r="40" spans="2:44" s="6" customFormat="1" x14ac:dyDescent="0.45">
      <c r="B40" s="5"/>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row>
  </sheetData>
  <mergeCells count="15">
    <mergeCell ref="AP2:AR2"/>
    <mergeCell ref="AJ2:AL2"/>
    <mergeCell ref="AM2:AO2"/>
    <mergeCell ref="B2:B3"/>
    <mergeCell ref="C2:E2"/>
    <mergeCell ref="F2:H2"/>
    <mergeCell ref="I2:K2"/>
    <mergeCell ref="L2:N2"/>
    <mergeCell ref="AD2:AF2"/>
    <mergeCell ref="AG2:AI2"/>
    <mergeCell ref="O2:Q2"/>
    <mergeCell ref="R2:T2"/>
    <mergeCell ref="U2:W2"/>
    <mergeCell ref="X2:Z2"/>
    <mergeCell ref="AA2:AC2"/>
  </mergeCells>
  <printOptions horizontalCentered="1"/>
  <pageMargins left="0.23622047244094491" right="0.23622047244094491" top="0.74803149606299213" bottom="0.74803149606299213" header="0.31496062992125984" footer="0.31496062992125984"/>
  <pageSetup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Calificacion</vt:lpstr>
      <vt:lpstr>Detalle</vt:lpstr>
      <vt:lpstr>Detalle!Print_Area</vt:lpstr>
      <vt:lpstr>Detalle!Print_Titles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WILLIAM RICARDO AGUILAR PIÑA</cp:lastModifiedBy>
  <cp:lastPrinted>2024-08-11T16:24:55Z</cp:lastPrinted>
  <dcterms:created xsi:type="dcterms:W3CDTF">2018-11-28T14:19:17Z</dcterms:created>
  <dcterms:modified xsi:type="dcterms:W3CDTF">2025-08-05T14:26:30Z</dcterms:modified>
</cp:coreProperties>
</file>