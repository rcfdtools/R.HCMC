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31"/>
  <workbookPr updateLinks="never" codeName="ThisWorkbook" defaultThemeVersion="166925"/>
  <mc:AlternateContent xmlns:mc="http://schemas.openxmlformats.org/markup-compatibility/2006">
    <mc:Choice Requires="x15">
      <x15ac:absPath xmlns:x15ac="http://schemas.microsoft.com/office/spreadsheetml/2010/11/ac" url="D:\R.HCMC\activity\M03A04\"/>
    </mc:Choice>
  </mc:AlternateContent>
  <xr:revisionPtr revIDLastSave="0" documentId="13_ncr:1_{0472E559-A1BF-4344-AD4B-F52277124DF3}" xr6:coauthVersionLast="47" xr6:coauthVersionMax="47" xr10:uidLastSave="{00000000-0000-0000-0000-000000000000}"/>
  <bookViews>
    <workbookView xWindow="-98" yWindow="-98" windowWidth="28996" windowHeight="15675" xr2:uid="{CB4A84EB-58A9-4828-A1EC-5E14AACD60D5}"/>
  </bookViews>
  <sheets>
    <sheet name="Calificacion" sheetId="12" r:id="rId1"/>
    <sheet name="Detalle" sheetId="10" r:id="rId2"/>
  </sheets>
  <definedNames>
    <definedName name="_xlnm.Print_Area" localSheetId="1">Detalle!$B$1:$E$11</definedName>
    <definedName name="_xlnm.Print_Titles" localSheetId="1">Detalle!$1:$3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 i="10" l="1"/>
  <c r="B19" i="12"/>
  <c r="AP11" i="10" l="1"/>
  <c r="D18" i="12" s="1"/>
  <c r="F18" i="12" s="1"/>
  <c r="AM11" i="10"/>
  <c r="D17" i="12" s="1"/>
  <c r="F17" i="12" s="1"/>
  <c r="AJ11" i="10"/>
  <c r="D16" i="12" s="1"/>
  <c r="F16" i="12" s="1"/>
  <c r="AG11" i="10"/>
  <c r="D15" i="12" s="1"/>
  <c r="F15" i="12" s="1"/>
  <c r="AD11" i="10"/>
  <c r="D14" i="12" s="1"/>
  <c r="F14" i="12" s="1"/>
  <c r="AA11" i="10"/>
  <c r="D13" i="12" s="1"/>
  <c r="F13" i="12" s="1"/>
  <c r="X11" i="10"/>
  <c r="U11" i="10"/>
  <c r="R11" i="10"/>
  <c r="O11" i="10"/>
  <c r="L11" i="10"/>
  <c r="F11" i="10"/>
  <c r="AP2" i="10"/>
  <c r="AM2" i="10"/>
  <c r="AJ2" i="10"/>
  <c r="AG2" i="10"/>
  <c r="AD2" i="10"/>
  <c r="AA2" i="10"/>
  <c r="X2" i="10"/>
  <c r="U2" i="10"/>
  <c r="R2" i="10"/>
  <c r="O2" i="10"/>
  <c r="L2" i="10"/>
  <c r="I2" i="10"/>
  <c r="F2" i="10"/>
  <c r="C2" i="10"/>
  <c r="C11" i="10"/>
  <c r="D5" i="12" s="1"/>
  <c r="F5" i="12" s="1"/>
  <c r="D12" i="12" l="1"/>
  <c r="F12" i="12" s="1"/>
  <c r="D11" i="12"/>
  <c r="F11" i="12" s="1"/>
  <c r="D10" i="12"/>
  <c r="F10" i="12" s="1"/>
  <c r="D9" i="12"/>
  <c r="F9" i="12" s="1"/>
  <c r="D8" i="12"/>
  <c r="F8" i="12" s="1"/>
  <c r="I11" i="10"/>
  <c r="D7" i="12" s="1"/>
  <c r="F7" i="12" s="1"/>
  <c r="D6" i="12"/>
  <c r="F6" i="12" s="1"/>
</calcChain>
</file>

<file path=xl/sharedStrings.xml><?xml version="1.0" encoding="utf-8"?>
<sst xmlns="http://schemas.openxmlformats.org/spreadsheetml/2006/main" count="71" uniqueCount="31">
  <si>
    <t>Observaciones</t>
  </si>
  <si>
    <t>Calificación</t>
  </si>
  <si>
    <t>Código</t>
  </si>
  <si>
    <t>Requerimiento</t>
  </si>
  <si>
    <t>Valor</t>
  </si>
  <si>
    <t>Calificar sobre</t>
  </si>
  <si>
    <t>Calificación final</t>
  </si>
  <si>
    <t>Calificación Instructor</t>
  </si>
  <si>
    <t>Autocalificación Alumno</t>
  </si>
  <si>
    <t>Grupo 1</t>
  </si>
  <si>
    <t>Grupo 2</t>
  </si>
  <si>
    <t>Grupo 4</t>
  </si>
  <si>
    <t>Grupo 3</t>
  </si>
  <si>
    <t>Grupo 5</t>
  </si>
  <si>
    <t>Calificación: 3.4. Modelación unidimensional en condiciones de flujo permanente y no permanente</t>
  </si>
  <si>
    <t>M03A04</t>
  </si>
  <si>
    <t>Grupo 6</t>
  </si>
  <si>
    <t>Grupo 7</t>
  </si>
  <si>
    <t>Grupo 8</t>
  </si>
  <si>
    <t>Grupo 9</t>
  </si>
  <si>
    <t>Grupo 10</t>
  </si>
  <si>
    <t>Grupo 11</t>
  </si>
  <si>
    <t>Grupo 12</t>
  </si>
  <si>
    <t>Grupo 13</t>
  </si>
  <si>
    <t>Grupo 14</t>
  </si>
  <si>
    <t>Luego de la modificación del modelo y la ejecución completa en condiciones de flujo permanente y no permanente, comprimir como HECRAS_v1_aaaammdd.zip.</t>
  </si>
  <si>
    <t>Informe técnico mostrando las actividades desarrolladas en el orden presentado en esta actividad, junto con los análisis y recomendaciones realizadas, convierta a Adobe Acrobat (.pdf) y guarde en la carpeta /report del repositorio de datos del proyecto.</t>
  </si>
  <si>
    <t>En caso de haber realizado modificaciones a la geometría obtenida del modelo RAS-Mapper, deberán existir dos archivos de geometría, uno con la geometría original y otro con la geometría depurada.</t>
  </si>
  <si>
    <t>Considere, analice y explique el tipo o los tipos de regímenes de flujo a aplicar a partir de los posible controles hidráulicos que existen en el canal. Indicar la abscisa de las secciones transversales donde se presentan los posibles controles. Analizar a partir de las profundidades críticas obtenidas en la modelación de flujo permanente.</t>
  </si>
  <si>
    <t>Flujo permanente: en el modelo HECRAS_v1, ejecutar la modelación hidráulica en condiciones de flujo permanente para los periodos de retorno considerados en su diseño, presentar el perfil de flujo del cauce principal, los cauces laterales, localización de profundidades críticas y para las secciones naturales de inicio y entrega del realineamiento, mostrar las profundidades de lámina de agua para todos los periodos de retorno evaluados, caudal medio y caudal ecológico.</t>
  </si>
  <si>
    <t>Flujo no permanente: en el modelo como HECRAS_v1, ejecutar la modelación hidráulica en condiciones de flujo no permanente para 2.33, 25, 100 años de periodo de retorno y los periodos de retorno considerados en su diseño, presentar el perfil de flujo de la envolvente de máximos del cauce principal, los cauces laterales y para las secciones naturales y de diseño de inicio y entrega, mostrar todas las profundidades de lámina de agua máximos para todos los periodos de retorno evaluados. En caso de que no pueda ser ejecutado en flujo no permanente, crear una copia de la geometría, depurar o eliminar secciones naturales donde se presentan controles de flujo, hasta obtener un modelo estable en esta condición. En el informe técnico indicar las consideraciones generales para la modificación de la geometría del modelo hidráulico.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</si>
</sst>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4" x14ac:knownFonts="1">
    <font>
      <sz val="11"/>
      <color theme="1"/>
      <name val="Calibri"/>
      <family val="2"/>
      <scheme val="minor"/>
    </font>
    <font>
      <u/>
      <sz val="11"/>
      <color theme="10"/>
      <name val="Calibri"/>
      <family val="2"/>
      <scheme val="minor"/>
    </font>
    <font>
      <sz val="11"/>
      <color theme="1"/>
      <name val="Calibri"/>
      <family val="2"/>
      <scheme val="minor"/>
    </font>
    <font>
      <u/>
      <sz val="10"/>
      <color theme="10"/>
      <name val="Calibri Light"/>
      <family val="2"/>
    </font>
    <font>
      <sz val="10"/>
      <color theme="1"/>
      <name val="Calibri Light"/>
      <family val="2"/>
    </font>
    <font>
      <sz val="10"/>
      <color theme="1"/>
      <name val="Segoe UI Light"/>
      <family val="2"/>
    </font>
    <font>
      <sz val="10"/>
      <name val="Segoe UI Light"/>
      <family val="2"/>
    </font>
    <font>
      <u/>
      <sz val="10"/>
      <name val="Segoe UI Light"/>
      <family val="2"/>
    </font>
    <font>
      <sz val="8"/>
      <name val="Segoe UI Light"/>
      <family val="2"/>
    </font>
    <font>
      <sz val="11"/>
      <color theme="1"/>
      <name val="Segoe UI Light"/>
      <family val="2"/>
    </font>
    <font>
      <sz val="8"/>
      <color rgb="FF0070C0"/>
      <name val="Segoe UI Light"/>
      <family val="2"/>
    </font>
    <font>
      <sz val="8"/>
      <color theme="1"/>
      <name val="Segoe UI Light"/>
      <family val="2"/>
    </font>
    <font>
      <sz val="8"/>
      <name val="Calibri"/>
      <family val="2"/>
      <scheme val="minor"/>
    </font>
    <font>
      <sz val="10"/>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18">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indexed="64"/>
      </left>
      <right/>
      <top style="thin">
        <color indexed="64"/>
      </top>
      <bottom style="thin">
        <color theme="0" tint="-4.9989318521683403E-2"/>
      </bottom>
      <diagonal/>
    </border>
    <border>
      <left style="thin">
        <color indexed="64"/>
      </left>
      <right/>
      <top style="thin">
        <color theme="0" tint="-4.9989318521683403E-2"/>
      </top>
      <bottom style="thin">
        <color theme="0" tint="-4.9989318521683403E-2"/>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theme="0" tint="-4.9989318521683403E-2"/>
      </top>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s>
  <cellStyleXfs count="6">
    <xf numFmtId="0" fontId="0" fillId="0" borderId="0"/>
    <xf numFmtId="0" fontId="1" fillId="0" borderId="0" applyNumberFormat="0" applyFill="0" applyBorder="0" applyAlignment="0" applyProtection="0"/>
    <xf numFmtId="0" fontId="3" fillId="0" borderId="0" applyNumberFormat="0" applyFill="0" applyBorder="0" applyAlignment="0" applyProtection="0"/>
    <xf numFmtId="0" fontId="4" fillId="0" borderId="0"/>
    <xf numFmtId="0" fontId="2" fillId="0" borderId="0"/>
    <xf numFmtId="43" fontId="4" fillId="0" borderId="0" applyFont="0" applyFill="0" applyBorder="0" applyAlignment="0" applyProtection="0"/>
  </cellStyleXfs>
  <cellXfs count="48">
    <xf numFmtId="0" fontId="0" fillId="0" borderId="0" xfId="0"/>
    <xf numFmtId="0" fontId="6" fillId="0" borderId="0" xfId="4" applyFont="1" applyAlignment="1">
      <alignment horizontal="left" vertical="top"/>
    </xf>
    <xf numFmtId="0" fontId="6" fillId="0" borderId="0" xfId="0" applyFont="1" applyAlignment="1">
      <alignment horizontal="left" vertical="top" wrapText="1"/>
    </xf>
    <xf numFmtId="0" fontId="8" fillId="0" borderId="0" xfId="0" applyFont="1" applyAlignment="1">
      <alignment horizontal="left" vertical="top"/>
    </xf>
    <xf numFmtId="0" fontId="5" fillId="0" borderId="4" xfId="0" applyFont="1" applyBorder="1" applyAlignment="1">
      <alignment horizontal="center" vertical="top"/>
    </xf>
    <xf numFmtId="0" fontId="5" fillId="0" borderId="0" xfId="0" applyFont="1" applyAlignment="1">
      <alignment vertical="top"/>
    </xf>
    <xf numFmtId="0" fontId="7" fillId="0" borderId="0" xfId="2" applyFont="1" applyFill="1" applyAlignment="1">
      <alignment horizontal="right" vertical="top"/>
    </xf>
    <xf numFmtId="0" fontId="8" fillId="0" borderId="0" xfId="1" applyFont="1" applyAlignment="1">
      <alignment horizontal="left" vertical="top"/>
    </xf>
    <xf numFmtId="0" fontId="6" fillId="0" borderId="0" xfId="0" applyFont="1" applyAlignment="1">
      <alignment horizontal="center" vertical="top" wrapText="1"/>
    </xf>
    <xf numFmtId="0" fontId="6" fillId="0" borderId="0" xfId="0" applyFont="1" applyAlignment="1">
      <alignment vertical="top" wrapText="1"/>
    </xf>
    <xf numFmtId="0" fontId="6" fillId="0" borderId="0" xfId="4" applyFont="1" applyAlignment="1">
      <alignment horizontal="right" vertical="top"/>
    </xf>
    <xf numFmtId="0" fontId="6" fillId="0" borderId="0" xfId="0" applyFont="1" applyAlignment="1">
      <alignment vertical="top"/>
    </xf>
    <xf numFmtId="0" fontId="6" fillId="2" borderId="1" xfId="0" applyFont="1" applyFill="1" applyBorder="1" applyAlignment="1">
      <alignment horizontal="center" vertical="top" wrapText="1"/>
    </xf>
    <xf numFmtId="164" fontId="6" fillId="0" borderId="11" xfId="0" applyNumberFormat="1" applyFont="1" applyBorder="1" applyAlignment="1" applyProtection="1">
      <alignment horizontal="left" vertical="top" wrapText="1"/>
      <protection locked="0"/>
    </xf>
    <xf numFmtId="0" fontId="6" fillId="2" borderId="4" xfId="0" applyFont="1" applyFill="1" applyBorder="1" applyAlignment="1">
      <alignment horizontal="center" vertical="top" wrapText="1"/>
    </xf>
    <xf numFmtId="0" fontId="6" fillId="2" borderId="5" xfId="0" applyFont="1" applyFill="1" applyBorder="1" applyAlignment="1">
      <alignment horizontal="left" vertical="top" wrapText="1"/>
    </xf>
    <xf numFmtId="0" fontId="5" fillId="0" borderId="0" xfId="0" applyFont="1" applyAlignment="1">
      <alignment horizontal="center" vertical="top" wrapText="1"/>
    </xf>
    <xf numFmtId="0" fontId="9" fillId="2" borderId="2" xfId="0" applyFont="1" applyFill="1" applyBorder="1" applyAlignment="1">
      <alignment horizontal="center" vertical="top" wrapText="1"/>
    </xf>
    <xf numFmtId="0" fontId="9" fillId="2" borderId="8" xfId="0" applyFont="1" applyFill="1" applyBorder="1" applyAlignment="1">
      <alignment horizontal="center" vertical="top" wrapText="1"/>
    </xf>
    <xf numFmtId="0" fontId="9" fillId="2" borderId="3" xfId="0" applyFont="1" applyFill="1" applyBorder="1" applyAlignment="1">
      <alignment horizontal="center" vertical="top" wrapText="1"/>
    </xf>
    <xf numFmtId="2" fontId="6" fillId="0" borderId="1" xfId="0" applyNumberFormat="1" applyFont="1" applyBorder="1" applyAlignment="1">
      <alignment horizontal="center" vertical="top" wrapText="1"/>
    </xf>
    <xf numFmtId="2" fontId="5" fillId="0" borderId="5" xfId="0" applyNumberFormat="1" applyFont="1" applyBorder="1" applyAlignment="1">
      <alignment horizontal="center" vertical="top"/>
    </xf>
    <xf numFmtId="0" fontId="5" fillId="0" borderId="0" xfId="0" applyFont="1" applyAlignment="1">
      <alignment vertical="top" wrapText="1"/>
    </xf>
    <xf numFmtId="0" fontId="5" fillId="2" borderId="8" xfId="0" applyFont="1" applyFill="1" applyBorder="1" applyAlignment="1">
      <alignment horizontal="center" vertical="top" wrapText="1"/>
    </xf>
    <xf numFmtId="0" fontId="5" fillId="0" borderId="6" xfId="0" applyFont="1" applyBorder="1" applyAlignment="1">
      <alignment horizontal="center" vertical="top"/>
    </xf>
    <xf numFmtId="2" fontId="6" fillId="0" borderId="9" xfId="0" applyNumberFormat="1" applyFont="1" applyBorder="1" applyAlignment="1">
      <alignment horizontal="center" vertical="top" wrapText="1"/>
    </xf>
    <xf numFmtId="2" fontId="5" fillId="0" borderId="7" xfId="0" applyNumberFormat="1" applyFont="1" applyBorder="1" applyAlignment="1">
      <alignment horizontal="center" vertical="top"/>
    </xf>
    <xf numFmtId="0" fontId="11" fillId="0" borderId="0" xfId="0" applyFont="1" applyAlignment="1">
      <alignment horizontal="right" vertical="top"/>
    </xf>
    <xf numFmtId="2" fontId="13" fillId="0" borderId="1" xfId="0" applyNumberFormat="1" applyFont="1" applyBorder="1" applyAlignment="1">
      <alignment horizontal="center" vertical="top"/>
    </xf>
    <xf numFmtId="2" fontId="13" fillId="0" borderId="9" xfId="0" applyNumberFormat="1" applyFont="1" applyBorder="1" applyAlignment="1">
      <alignment horizontal="center" vertical="top"/>
    </xf>
    <xf numFmtId="2" fontId="13" fillId="0" borderId="4" xfId="0" applyNumberFormat="1" applyFont="1" applyBorder="1" applyAlignment="1" applyProtection="1">
      <alignment horizontal="center" vertical="top" wrapText="1"/>
      <protection locked="0"/>
    </xf>
    <xf numFmtId="2" fontId="13" fillId="0" borderId="1" xfId="0" applyNumberFormat="1" applyFont="1" applyBorder="1" applyAlignment="1" applyProtection="1">
      <alignment horizontal="center" vertical="top" wrapText="1"/>
      <protection locked="0"/>
    </xf>
    <xf numFmtId="2" fontId="13" fillId="0" borderId="5" xfId="0" applyNumberFormat="1" applyFont="1" applyBorder="1" applyAlignment="1">
      <alignment horizontal="left" vertical="top" wrapText="1"/>
    </xf>
    <xf numFmtId="164" fontId="6" fillId="0" borderId="14" xfId="0" applyNumberFormat="1" applyFont="1" applyBorder="1" applyAlignment="1" applyProtection="1">
      <alignment horizontal="left" vertical="top" wrapText="1"/>
      <protection locked="0"/>
    </xf>
    <xf numFmtId="2" fontId="13" fillId="0" borderId="15" xfId="0" applyNumberFormat="1" applyFont="1" applyBorder="1" applyAlignment="1" applyProtection="1">
      <alignment horizontal="center" vertical="top" wrapText="1"/>
      <protection locked="0"/>
    </xf>
    <xf numFmtId="2" fontId="13" fillId="0" borderId="16" xfId="0" applyNumberFormat="1" applyFont="1" applyBorder="1" applyAlignment="1" applyProtection="1">
      <alignment horizontal="center" vertical="top" wrapText="1"/>
      <protection locked="0"/>
    </xf>
    <xf numFmtId="2" fontId="13" fillId="0" borderId="17" xfId="0" applyNumberFormat="1" applyFont="1" applyBorder="1" applyAlignment="1">
      <alignment horizontal="left" vertical="top" wrapText="1"/>
    </xf>
    <xf numFmtId="0" fontId="5" fillId="0" borderId="0" xfId="0" applyFont="1" applyAlignment="1">
      <alignment horizontal="left" vertical="top" wrapText="1"/>
    </xf>
    <xf numFmtId="0" fontId="5" fillId="0" borderId="12" xfId="0" applyFont="1" applyBorder="1" applyAlignment="1">
      <alignment horizontal="left" vertical="top" wrapText="1"/>
    </xf>
    <xf numFmtId="0" fontId="10" fillId="0" borderId="0" xfId="1" applyFont="1" applyBorder="1" applyAlignment="1">
      <alignment horizontal="left" vertical="top"/>
    </xf>
    <xf numFmtId="0" fontId="6" fillId="2" borderId="10" xfId="0" applyFont="1" applyFill="1" applyBorder="1" applyAlignment="1">
      <alignment horizontal="left" vertical="top" wrapText="1"/>
    </xf>
    <xf numFmtId="0" fontId="6" fillId="2" borderId="11" xfId="0" applyFont="1" applyFill="1" applyBorder="1" applyAlignment="1">
      <alignment horizontal="left" vertical="top" wrapText="1"/>
    </xf>
    <xf numFmtId="2" fontId="6" fillId="2" borderId="13" xfId="0" applyNumberFormat="1" applyFont="1" applyFill="1" applyBorder="1" applyAlignment="1">
      <alignment horizontal="center" vertical="top" wrapText="1"/>
    </xf>
    <xf numFmtId="0" fontId="6" fillId="2" borderId="13" xfId="0" applyFont="1" applyFill="1" applyBorder="1" applyAlignment="1">
      <alignment horizontal="center" vertical="top" wrapText="1"/>
    </xf>
    <xf numFmtId="0" fontId="6" fillId="2" borderId="2" xfId="0" applyFont="1" applyFill="1" applyBorder="1" applyAlignment="1">
      <alignment horizontal="center" vertical="top" wrapText="1"/>
    </xf>
    <xf numFmtId="0" fontId="6" fillId="2" borderId="8" xfId="0" applyFont="1" applyFill="1" applyBorder="1" applyAlignment="1">
      <alignment horizontal="center" vertical="top" wrapText="1"/>
    </xf>
    <xf numFmtId="0" fontId="6" fillId="2" borderId="3" xfId="0" applyFont="1" applyFill="1" applyBorder="1" applyAlignment="1">
      <alignment horizontal="center" vertical="top" wrapText="1"/>
    </xf>
    <xf numFmtId="164" fontId="6" fillId="2" borderId="13" xfId="0" applyNumberFormat="1" applyFont="1" applyFill="1" applyBorder="1" applyAlignment="1">
      <alignment horizontal="left" vertical="top" wrapText="1"/>
    </xf>
  </cellXfs>
  <cellStyles count="6">
    <cellStyle name="Hipervínculo 2" xfId="2" xr:uid="{31AB4584-48B5-483C-8AA6-C2DF10B27C24}"/>
    <cellStyle name="Hyperlink" xfId="1" builtinId="8"/>
    <cellStyle name="Millares 2" xfId="5" xr:uid="{B2346456-3EA3-414B-995D-FAA581EEA6A8}"/>
    <cellStyle name="Normal" xfId="0" builtinId="0"/>
    <cellStyle name="Normal 2" xfId="4" xr:uid="{5BE8A7FD-F8F9-4363-89EA-43A3CEB9DCAE}"/>
    <cellStyle name="Normal 3" xfId="3" xr:uid="{1BD222BC-86EE-4D01-AA8D-83508C777D9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Calificacion!$B$2</c:f>
          <c:strCache>
            <c:ptCount val="1"/>
            <c:pt idx="0">
              <c:v>Calificación: 3.4. Modelación unidimensional en condiciones de flujo permanente y no permanente</c:v>
            </c:pt>
          </c:strCache>
        </c:strRef>
      </c:tx>
      <c:layout>
        <c:manualLayout>
          <c:xMode val="edge"/>
          <c:yMode val="edge"/>
          <c:x val="0.15735700265243632"/>
          <c:y val="1.7737058277960186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autoTitleDeleted val="0"/>
    <c:plotArea>
      <c:layout>
        <c:manualLayout>
          <c:layoutTarget val="inner"/>
          <c:xMode val="edge"/>
          <c:yMode val="edge"/>
          <c:x val="0.13451837270341208"/>
          <c:y val="0.19414167578894526"/>
          <c:w val="0.83492607174103239"/>
          <c:h val="0.4502210751091682"/>
        </c:manualLayout>
      </c:layout>
      <c:barChart>
        <c:barDir val="col"/>
        <c:grouping val="clustered"/>
        <c:varyColors val="0"/>
        <c:ser>
          <c:idx val="1"/>
          <c:order val="0"/>
          <c:tx>
            <c:strRef>
              <c:f>Calificacion!$F$4</c:f>
              <c:strCache>
                <c:ptCount val="1"/>
                <c:pt idx="0">
                  <c:v>Calificación final</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Calificacion!$B$5:$B$9</c:f>
              <c:strCache>
                <c:ptCount val="5"/>
                <c:pt idx="0">
                  <c:v>Grupo 1</c:v>
                </c:pt>
                <c:pt idx="1">
                  <c:v>Grupo 2</c:v>
                </c:pt>
                <c:pt idx="2">
                  <c:v>Grupo 3</c:v>
                </c:pt>
                <c:pt idx="3">
                  <c:v>Grupo 4</c:v>
                </c:pt>
                <c:pt idx="4">
                  <c:v>Grupo 5</c:v>
                </c:pt>
              </c:strCache>
            </c:strRef>
          </c:cat>
          <c:val>
            <c:numRef>
              <c:f>Calificacion!$F$5:$F$9</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0008-400B-A26E-B3EF2ECD9D62}"/>
            </c:ext>
          </c:extLst>
        </c:ser>
        <c:dLbls>
          <c:showLegendKey val="0"/>
          <c:showVal val="0"/>
          <c:showCatName val="0"/>
          <c:showSerName val="0"/>
          <c:showPercent val="0"/>
          <c:showBubbleSize val="0"/>
        </c:dLbls>
        <c:gapWidth val="50"/>
        <c:axId val="693552272"/>
        <c:axId val="693552600"/>
      </c:barChart>
      <c:catAx>
        <c:axId val="693552272"/>
        <c:scaling>
          <c:orientation val="minMax"/>
        </c:scaling>
        <c:delete val="0"/>
        <c:axPos val="b"/>
        <c:majorGridlines>
          <c:spPr>
            <a:ln w="6350" cap="flat" cmpd="sng" algn="ctr">
              <a:solidFill>
                <a:schemeClr val="bg1">
                  <a:lumMod val="95000"/>
                </a:schemeClr>
              </a:solidFill>
              <a:prstDash val="sysDot"/>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Código</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General" sourceLinked="1"/>
        <c:majorTickMark val="none"/>
        <c:minorTickMark val="none"/>
        <c:tickLblPos val="nextTo"/>
        <c:spPr>
          <a:noFill/>
          <a:ln w="6350" cap="flat" cmpd="sng" algn="ctr">
            <a:solidFill>
              <a:schemeClr val="tx1"/>
            </a:solidFill>
            <a:round/>
          </a:ln>
          <a:effectLst/>
        </c:spPr>
        <c:txPr>
          <a:bodyPr rot="-5400000" spcFirstLastPara="1" vertOverflow="ellipsis" wrap="square" anchor="ctr" anchorCtr="1"/>
          <a:lstStyle/>
          <a:p>
            <a:pPr>
              <a:defRPr sz="12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600"/>
        <c:crosses val="autoZero"/>
        <c:auto val="1"/>
        <c:lblAlgn val="ctr"/>
        <c:lblOffset val="100"/>
        <c:noMultiLvlLbl val="0"/>
      </c:catAx>
      <c:valAx>
        <c:axId val="693552600"/>
        <c:scaling>
          <c:orientation val="minMax"/>
          <c:max val="5"/>
          <c:min val="0"/>
        </c:scaling>
        <c:delete val="0"/>
        <c:axPos val="l"/>
        <c:majorGridlines>
          <c:spPr>
            <a:ln w="6350" cap="flat" cmpd="sng" algn="ctr">
              <a:solidFill>
                <a:schemeClr val="bg1">
                  <a:lumMod val="95000"/>
                </a:schemeClr>
              </a:solidFill>
              <a:prstDash val="sysDot"/>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r>
                  <a:rPr lang="es-CO"/>
                  <a:t>Calificación</a:t>
                </a:r>
              </a:p>
            </c:rich>
          </c:tx>
          <c:layout>
            <c:manualLayout>
              <c:xMode val="edge"/>
              <c:yMode val="edge"/>
              <c:x val="1.721592592592593E-2"/>
              <c:y val="0.3803424999999999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title>
        <c:numFmt formatCode="0.00" sourceLinked="1"/>
        <c:majorTickMark val="none"/>
        <c:minorTickMark val="none"/>
        <c:tickLblPos val="nextTo"/>
        <c:spPr>
          <a:noFill/>
          <a:ln w="6350">
            <a:solidFill>
              <a:schemeClr val="tx1"/>
            </a:solid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Segoe UI Light" panose="020B0502040204020203" pitchFamily="34" charset="0"/>
                <a:ea typeface="+mn-ea"/>
                <a:cs typeface="Segoe UI Light" panose="020B0502040204020203" pitchFamily="34" charset="0"/>
              </a:defRPr>
            </a:pPr>
            <a:endParaRPr lang="es-CO"/>
          </a:p>
        </c:txPr>
        <c:crossAx val="6935522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prstDash val="sysDot"/>
      <a:round/>
    </a:ln>
    <a:effectLst/>
  </c:spPr>
  <c:txPr>
    <a:bodyPr/>
    <a:lstStyle/>
    <a:p>
      <a:pPr>
        <a:defRPr sz="1000">
          <a:solidFill>
            <a:sysClr val="windowText" lastClr="000000"/>
          </a:solidFill>
          <a:latin typeface="Segoe UI Light" panose="020B0502040204020203" pitchFamily="34" charset="0"/>
          <a:cs typeface="Segoe UI Light" panose="020B0502040204020203" pitchFamily="34" charset="0"/>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107598</xdr:colOff>
      <xdr:row>3</xdr:row>
      <xdr:rowOff>99814</xdr:rowOff>
    </xdr:from>
    <xdr:to>
      <xdr:col>14</xdr:col>
      <xdr:colOff>174579</xdr:colOff>
      <xdr:row>19</xdr:row>
      <xdr:rowOff>24382</xdr:rowOff>
    </xdr:to>
    <xdr:graphicFrame macro="">
      <xdr:nvGraphicFramePr>
        <xdr:cNvPr id="2" name="Gráfico 1">
          <a:extLst>
            <a:ext uri="{FF2B5EF4-FFF2-40B4-BE49-F238E27FC236}">
              <a16:creationId xmlns:a16="http://schemas.microsoft.com/office/drawing/2014/main" id="{C2678CA2-DF7A-4F74-9EC7-9B9C21E9A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50BAE-D7A1-4B9B-8511-69070389923C}">
  <sheetPr codeName="Hoja2"/>
  <dimension ref="B1:F21"/>
  <sheetViews>
    <sheetView showGridLines="0" tabSelected="1" zoomScale="130" zoomScaleNormal="130" workbookViewId="0">
      <selection activeCell="D22" sqref="D22"/>
    </sheetView>
  </sheetViews>
  <sheetFormatPr defaultColWidth="11.3984375" defaultRowHeight="15.4" x14ac:dyDescent="0.45"/>
  <cols>
    <col min="1" max="1" width="2.6640625" style="5" customWidth="1"/>
    <col min="2" max="2" width="19.53125" style="5" customWidth="1"/>
    <col min="3" max="4" width="12.1328125" style="5" customWidth="1"/>
    <col min="5" max="5" width="13.06640625" style="5" customWidth="1"/>
    <col min="6" max="6" width="12.1328125" style="5" customWidth="1"/>
    <col min="7" max="7" width="2.6640625" style="5" customWidth="1"/>
    <col min="8" max="16384" width="11.3984375" style="5"/>
  </cols>
  <sheetData>
    <row r="1" spans="2:6" x14ac:dyDescent="0.45">
      <c r="F1" s="27" t="s">
        <v>15</v>
      </c>
    </row>
    <row r="2" spans="2:6" ht="14.25" customHeight="1" x14ac:dyDescent="0.45">
      <c r="B2" s="37" t="s">
        <v>14</v>
      </c>
      <c r="C2" s="37"/>
      <c r="D2" s="37"/>
      <c r="E2" s="37"/>
      <c r="F2" s="37"/>
    </row>
    <row r="3" spans="2:6" ht="16.5" customHeight="1" x14ac:dyDescent="0.45">
      <c r="B3" s="38"/>
      <c r="C3" s="38"/>
      <c r="D3" s="38"/>
      <c r="E3" s="38"/>
      <c r="F3" s="38"/>
    </row>
    <row r="4" spans="2:6" ht="33" x14ac:dyDescent="0.45">
      <c r="B4" s="17" t="s">
        <v>2</v>
      </c>
      <c r="C4" s="18" t="s">
        <v>5</v>
      </c>
      <c r="D4" s="23" t="s">
        <v>7</v>
      </c>
      <c r="E4" s="23" t="s">
        <v>8</v>
      </c>
      <c r="F4" s="19" t="s">
        <v>6</v>
      </c>
    </row>
    <row r="5" spans="2:6" x14ac:dyDescent="0.45">
      <c r="B5" s="4" t="s">
        <v>9</v>
      </c>
      <c r="C5" s="28">
        <v>5</v>
      </c>
      <c r="D5" s="20">
        <f>Detalle!C11*C5/5</f>
        <v>0</v>
      </c>
      <c r="E5" s="28"/>
      <c r="F5" s="21">
        <f>AVERAGE(D5:E5)</f>
        <v>0</v>
      </c>
    </row>
    <row r="6" spans="2:6" x14ac:dyDescent="0.45">
      <c r="B6" s="4" t="s">
        <v>10</v>
      </c>
      <c r="C6" s="28">
        <v>5</v>
      </c>
      <c r="D6" s="20">
        <f>Detalle!F11*C6/5</f>
        <v>0</v>
      </c>
      <c r="E6" s="28"/>
      <c r="F6" s="21">
        <f t="shared" ref="F6:F18" si="0">AVERAGE(D6:E6)</f>
        <v>0</v>
      </c>
    </row>
    <row r="7" spans="2:6" x14ac:dyDescent="0.45">
      <c r="B7" s="4" t="s">
        <v>12</v>
      </c>
      <c r="C7" s="28">
        <v>5</v>
      </c>
      <c r="D7" s="20">
        <f>Detalle!I11*C7/5</f>
        <v>0</v>
      </c>
      <c r="E7" s="28"/>
      <c r="F7" s="21">
        <f t="shared" si="0"/>
        <v>0</v>
      </c>
    </row>
    <row r="8" spans="2:6" x14ac:dyDescent="0.45">
      <c r="B8" s="4" t="s">
        <v>11</v>
      </c>
      <c r="C8" s="28">
        <v>5</v>
      </c>
      <c r="D8" s="20">
        <f>Detalle!L11*C8/5</f>
        <v>0</v>
      </c>
      <c r="E8" s="28"/>
      <c r="F8" s="21">
        <f t="shared" si="0"/>
        <v>0</v>
      </c>
    </row>
    <row r="9" spans="2:6" x14ac:dyDescent="0.45">
      <c r="B9" s="4" t="s">
        <v>13</v>
      </c>
      <c r="C9" s="28">
        <v>5</v>
      </c>
      <c r="D9" s="20">
        <f>Detalle!O11*C9/5</f>
        <v>0</v>
      </c>
      <c r="E9" s="28"/>
      <c r="F9" s="21">
        <f t="shared" si="0"/>
        <v>0</v>
      </c>
    </row>
    <row r="10" spans="2:6" x14ac:dyDescent="0.45">
      <c r="B10" s="4" t="s">
        <v>16</v>
      </c>
      <c r="C10" s="28">
        <v>5</v>
      </c>
      <c r="D10" s="20">
        <f>Detalle!R11*C10/5</f>
        <v>0</v>
      </c>
      <c r="E10" s="28"/>
      <c r="F10" s="21">
        <f t="shared" si="0"/>
        <v>0</v>
      </c>
    </row>
    <row r="11" spans="2:6" x14ac:dyDescent="0.45">
      <c r="B11" s="4" t="s">
        <v>17</v>
      </c>
      <c r="C11" s="28">
        <v>5</v>
      </c>
      <c r="D11" s="20">
        <f>Detalle!U11*C11/5</f>
        <v>0</v>
      </c>
      <c r="E11" s="28"/>
      <c r="F11" s="21">
        <f t="shared" si="0"/>
        <v>0</v>
      </c>
    </row>
    <row r="12" spans="2:6" x14ac:dyDescent="0.45">
      <c r="B12" s="4" t="s">
        <v>18</v>
      </c>
      <c r="C12" s="28">
        <v>5</v>
      </c>
      <c r="D12" s="20">
        <f>Detalle!X11*C12/5</f>
        <v>0</v>
      </c>
      <c r="E12" s="28"/>
      <c r="F12" s="21">
        <f t="shared" si="0"/>
        <v>0</v>
      </c>
    </row>
    <row r="13" spans="2:6" x14ac:dyDescent="0.45">
      <c r="B13" s="4" t="s">
        <v>19</v>
      </c>
      <c r="C13" s="28">
        <v>5</v>
      </c>
      <c r="D13" s="20">
        <f>Detalle!AA11*C13/5</f>
        <v>0</v>
      </c>
      <c r="E13" s="28"/>
      <c r="F13" s="21">
        <f t="shared" si="0"/>
        <v>0</v>
      </c>
    </row>
    <row r="14" spans="2:6" x14ac:dyDescent="0.45">
      <c r="B14" s="4" t="s">
        <v>20</v>
      </c>
      <c r="C14" s="28">
        <v>5</v>
      </c>
      <c r="D14" s="20">
        <f>Detalle!AD11*C14/5</f>
        <v>0</v>
      </c>
      <c r="E14" s="28"/>
      <c r="F14" s="21">
        <f t="shared" si="0"/>
        <v>0</v>
      </c>
    </row>
    <row r="15" spans="2:6" x14ac:dyDescent="0.45">
      <c r="B15" s="4" t="s">
        <v>21</v>
      </c>
      <c r="C15" s="28">
        <v>5</v>
      </c>
      <c r="D15" s="20">
        <f>Detalle!AG11*C15/5</f>
        <v>0</v>
      </c>
      <c r="E15" s="28"/>
      <c r="F15" s="21">
        <f t="shared" si="0"/>
        <v>0</v>
      </c>
    </row>
    <row r="16" spans="2:6" x14ac:dyDescent="0.45">
      <c r="B16" s="4" t="s">
        <v>22</v>
      </c>
      <c r="C16" s="28">
        <v>5</v>
      </c>
      <c r="D16" s="20">
        <f>Detalle!AJ11*C16/5</f>
        <v>0</v>
      </c>
      <c r="E16" s="28"/>
      <c r="F16" s="21">
        <f t="shared" si="0"/>
        <v>0</v>
      </c>
    </row>
    <row r="17" spans="2:6" x14ac:dyDescent="0.45">
      <c r="B17" s="4" t="s">
        <v>23</v>
      </c>
      <c r="C17" s="28">
        <v>5</v>
      </c>
      <c r="D17" s="20">
        <f>Detalle!AM11*C17/5</f>
        <v>0</v>
      </c>
      <c r="E17" s="28"/>
      <c r="F17" s="21">
        <f t="shared" si="0"/>
        <v>0</v>
      </c>
    </row>
    <row r="18" spans="2:6" x14ac:dyDescent="0.45">
      <c r="B18" s="24" t="s">
        <v>24</v>
      </c>
      <c r="C18" s="29">
        <v>5</v>
      </c>
      <c r="D18" s="25">
        <f>Detalle!AP11*C18/5</f>
        <v>0</v>
      </c>
      <c r="E18" s="29"/>
      <c r="F18" s="26">
        <f t="shared" si="0"/>
        <v>0</v>
      </c>
    </row>
    <row r="19" spans="2:6" ht="14.25" customHeight="1" x14ac:dyDescent="0.45">
      <c r="B19" s="39" t="str">
        <f>HYPERLINK(_xlfn.CONCAT("https://github.com/rcfdtools/R.HCMC/blob/main/activity/",F1,"/Readme.md"),_xlfn.CONCAT("Ir a actividad ",F1," en GitHub."))</f>
        <v>Ir a actividad M03A04 en GitHub.</v>
      </c>
      <c r="C19" s="39"/>
      <c r="D19" s="39"/>
      <c r="E19" s="39"/>
      <c r="F19" s="39"/>
    </row>
    <row r="20" spans="2:6" x14ac:dyDescent="0.45">
      <c r="B20" s="39"/>
      <c r="C20" s="39"/>
      <c r="D20" s="39"/>
      <c r="E20" s="39"/>
      <c r="F20" s="39"/>
    </row>
    <row r="21" spans="2:6" x14ac:dyDescent="0.45">
      <c r="B21" s="22"/>
      <c r="C21" s="22"/>
      <c r="D21" s="22"/>
      <c r="E21" s="16"/>
      <c r="F21" s="16"/>
    </row>
  </sheetData>
  <mergeCells count="3">
    <mergeCell ref="B2:F3"/>
    <mergeCell ref="B19:F19"/>
    <mergeCell ref="B20:F20"/>
  </mergeCells>
  <phoneticPr fontId="12" type="noConversion"/>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987CE-896A-4E26-83D1-1610B3259376}">
  <sheetPr codeName="Hoja1"/>
  <dimension ref="A1:AR47"/>
  <sheetViews>
    <sheetView showGridLines="0" zoomScale="115" zoomScaleNormal="115" workbookViewId="0">
      <pane xSplit="2" ySplit="3" topLeftCell="C7" activePane="bottomRight" state="frozen"/>
      <selection pane="topRight" activeCell="C1" sqref="C1"/>
      <selection pane="bottomLeft" activeCell="A4" sqref="A4"/>
      <selection pane="bottomRight" activeCell="B11" sqref="B11"/>
    </sheetView>
  </sheetViews>
  <sheetFormatPr defaultColWidth="11.3984375" defaultRowHeight="15.4" x14ac:dyDescent="0.45"/>
  <cols>
    <col min="1" max="1" width="2.6640625" style="10" customWidth="1"/>
    <col min="2" max="2" width="60.6640625" style="9" customWidth="1"/>
    <col min="3" max="4" width="10.6640625" style="8" customWidth="1"/>
    <col min="5" max="5" width="50.6640625" style="8" customWidth="1"/>
    <col min="6" max="7" width="10.6640625" style="8" customWidth="1"/>
    <col min="8" max="8" width="50.6640625" style="8" customWidth="1"/>
    <col min="9" max="10" width="10.6640625" style="8" customWidth="1"/>
    <col min="11" max="11" width="50.6640625" style="8" customWidth="1"/>
    <col min="12" max="13" width="10.6640625" style="8" customWidth="1"/>
    <col min="14" max="14" width="50.6640625" style="8" customWidth="1"/>
    <col min="15" max="16" width="10.6640625" style="8" customWidth="1"/>
    <col min="17" max="17" width="50.6640625" style="8" customWidth="1"/>
    <col min="18" max="19" width="10.6640625" style="8" customWidth="1"/>
    <col min="20" max="20" width="50.6640625" style="8" customWidth="1"/>
    <col min="21" max="22" width="10.6640625" style="8" customWidth="1"/>
    <col min="23" max="23" width="50.6640625" style="8" customWidth="1"/>
    <col min="24" max="25" width="10.6640625" style="8" customWidth="1"/>
    <col min="26" max="26" width="50.6640625" style="8" customWidth="1"/>
    <col min="27" max="28" width="10.6640625" style="8" customWidth="1"/>
    <col min="29" max="29" width="50.6640625" style="8" customWidth="1"/>
    <col min="30" max="31" width="10.6640625" style="8" customWidth="1"/>
    <col min="32" max="32" width="50.6640625" style="8" customWidth="1"/>
    <col min="33" max="34" width="10.6640625" style="8" customWidth="1"/>
    <col min="35" max="35" width="50.6640625" style="8" customWidth="1"/>
    <col min="36" max="37" width="10.6640625" style="8" customWidth="1"/>
    <col min="38" max="38" width="50.6640625" style="8" customWidth="1"/>
    <col min="39" max="40" width="10.6640625" style="8" customWidth="1"/>
    <col min="41" max="41" width="50.6640625" style="8" customWidth="1"/>
    <col min="42" max="43" width="10.6640625" style="8" customWidth="1"/>
    <col min="44" max="44" width="50.6640625" style="8" customWidth="1"/>
    <col min="45" max="45" width="11.3984375" style="9" customWidth="1"/>
    <col min="46" max="16384" width="11.3984375" style="9"/>
  </cols>
  <sheetData>
    <row r="1" spans="1:44" x14ac:dyDescent="0.45">
      <c r="A1" s="6"/>
      <c r="B1" s="7" t="str">
        <f>Calificacion!B2</f>
        <v>Calificación: 3.4. Modelación unidimensional en condiciones de flujo permanente y no permanente</v>
      </c>
      <c r="C1" s="7"/>
      <c r="D1" s="7"/>
      <c r="F1" s="7"/>
      <c r="G1" s="7"/>
      <c r="I1" s="7"/>
      <c r="J1" s="7"/>
      <c r="L1" s="7"/>
      <c r="M1" s="7"/>
      <c r="O1" s="7"/>
      <c r="P1" s="7"/>
      <c r="R1" s="7"/>
      <c r="S1" s="7"/>
      <c r="U1" s="7"/>
      <c r="V1" s="7"/>
      <c r="X1" s="7"/>
      <c r="Y1" s="7"/>
      <c r="AA1" s="7"/>
      <c r="AB1" s="7"/>
      <c r="AD1" s="7"/>
      <c r="AE1" s="7"/>
      <c r="AG1" s="7"/>
      <c r="AH1" s="7"/>
      <c r="AJ1" s="7"/>
      <c r="AK1" s="7"/>
      <c r="AM1" s="7"/>
      <c r="AN1" s="7"/>
      <c r="AP1" s="7"/>
      <c r="AQ1" s="7"/>
    </row>
    <row r="2" spans="1:44" s="11" customFormat="1" x14ac:dyDescent="0.45">
      <c r="A2" s="10"/>
      <c r="B2" s="40" t="s">
        <v>3</v>
      </c>
      <c r="C2" s="44" t="str">
        <f>Calificacion!$B5</f>
        <v>Grupo 1</v>
      </c>
      <c r="D2" s="45"/>
      <c r="E2" s="46"/>
      <c r="F2" s="44" t="str">
        <f>Calificacion!$B6</f>
        <v>Grupo 2</v>
      </c>
      <c r="G2" s="45"/>
      <c r="H2" s="46"/>
      <c r="I2" s="44" t="str">
        <f>Calificacion!$B7</f>
        <v>Grupo 3</v>
      </c>
      <c r="J2" s="45"/>
      <c r="K2" s="46"/>
      <c r="L2" s="44" t="str">
        <f>Calificacion!$B8</f>
        <v>Grupo 4</v>
      </c>
      <c r="M2" s="45"/>
      <c r="N2" s="46"/>
      <c r="O2" s="44" t="str">
        <f>Calificacion!$B9</f>
        <v>Grupo 5</v>
      </c>
      <c r="P2" s="45"/>
      <c r="Q2" s="46"/>
      <c r="R2" s="44" t="str">
        <f>Calificacion!$B10</f>
        <v>Grupo 6</v>
      </c>
      <c r="S2" s="45"/>
      <c r="T2" s="46"/>
      <c r="U2" s="44" t="str">
        <f>Calificacion!$B11</f>
        <v>Grupo 7</v>
      </c>
      <c r="V2" s="45"/>
      <c r="W2" s="46"/>
      <c r="X2" s="44" t="str">
        <f>Calificacion!$B12</f>
        <v>Grupo 8</v>
      </c>
      <c r="Y2" s="45"/>
      <c r="Z2" s="46"/>
      <c r="AA2" s="44" t="str">
        <f>Calificacion!$B13</f>
        <v>Grupo 9</v>
      </c>
      <c r="AB2" s="45"/>
      <c r="AC2" s="46"/>
      <c r="AD2" s="44" t="str">
        <f>Calificacion!$B14</f>
        <v>Grupo 10</v>
      </c>
      <c r="AE2" s="45"/>
      <c r="AF2" s="46"/>
      <c r="AG2" s="44" t="str">
        <f>Calificacion!$B15</f>
        <v>Grupo 11</v>
      </c>
      <c r="AH2" s="45"/>
      <c r="AI2" s="46"/>
      <c r="AJ2" s="44" t="str">
        <f>Calificacion!$B16</f>
        <v>Grupo 12</v>
      </c>
      <c r="AK2" s="45"/>
      <c r="AL2" s="46"/>
      <c r="AM2" s="44" t="str">
        <f>Calificacion!$B17</f>
        <v>Grupo 13</v>
      </c>
      <c r="AN2" s="45"/>
      <c r="AO2" s="46"/>
      <c r="AP2" s="44" t="str">
        <f>Calificacion!$B18</f>
        <v>Grupo 14</v>
      </c>
      <c r="AQ2" s="45"/>
      <c r="AR2" s="46"/>
    </row>
    <row r="3" spans="1:44" x14ac:dyDescent="0.45">
      <c r="B3" s="41"/>
      <c r="C3" s="14" t="s">
        <v>1</v>
      </c>
      <c r="D3" s="12" t="s">
        <v>4</v>
      </c>
      <c r="E3" s="15" t="s">
        <v>0</v>
      </c>
      <c r="F3" s="14" t="s">
        <v>1</v>
      </c>
      <c r="G3" s="12" t="s">
        <v>4</v>
      </c>
      <c r="H3" s="15" t="s">
        <v>0</v>
      </c>
      <c r="I3" s="14" t="s">
        <v>1</v>
      </c>
      <c r="J3" s="12" t="s">
        <v>4</v>
      </c>
      <c r="K3" s="15" t="s">
        <v>0</v>
      </c>
      <c r="L3" s="14" t="s">
        <v>1</v>
      </c>
      <c r="M3" s="12" t="s">
        <v>4</v>
      </c>
      <c r="N3" s="15" t="s">
        <v>0</v>
      </c>
      <c r="O3" s="14" t="s">
        <v>1</v>
      </c>
      <c r="P3" s="12" t="s">
        <v>4</v>
      </c>
      <c r="Q3" s="15" t="s">
        <v>0</v>
      </c>
      <c r="R3" s="14" t="s">
        <v>1</v>
      </c>
      <c r="S3" s="12" t="s">
        <v>4</v>
      </c>
      <c r="T3" s="15" t="s">
        <v>0</v>
      </c>
      <c r="U3" s="14" t="s">
        <v>1</v>
      </c>
      <c r="V3" s="12" t="s">
        <v>4</v>
      </c>
      <c r="W3" s="15" t="s">
        <v>0</v>
      </c>
      <c r="X3" s="14" t="s">
        <v>1</v>
      </c>
      <c r="Y3" s="12" t="s">
        <v>4</v>
      </c>
      <c r="Z3" s="15" t="s">
        <v>0</v>
      </c>
      <c r="AA3" s="14" t="s">
        <v>1</v>
      </c>
      <c r="AB3" s="12" t="s">
        <v>4</v>
      </c>
      <c r="AC3" s="15" t="s">
        <v>0</v>
      </c>
      <c r="AD3" s="14" t="s">
        <v>1</v>
      </c>
      <c r="AE3" s="12" t="s">
        <v>4</v>
      </c>
      <c r="AF3" s="15" t="s">
        <v>0</v>
      </c>
      <c r="AG3" s="14" t="s">
        <v>1</v>
      </c>
      <c r="AH3" s="12" t="s">
        <v>4</v>
      </c>
      <c r="AI3" s="15" t="s">
        <v>0</v>
      </c>
      <c r="AJ3" s="14" t="s">
        <v>1</v>
      </c>
      <c r="AK3" s="12" t="s">
        <v>4</v>
      </c>
      <c r="AL3" s="15" t="s">
        <v>0</v>
      </c>
      <c r="AM3" s="14" t="s">
        <v>1</v>
      </c>
      <c r="AN3" s="12" t="s">
        <v>4</v>
      </c>
      <c r="AO3" s="15" t="s">
        <v>0</v>
      </c>
      <c r="AP3" s="14" t="s">
        <v>1</v>
      </c>
      <c r="AQ3" s="12" t="s">
        <v>4</v>
      </c>
      <c r="AR3" s="15" t="s">
        <v>0</v>
      </c>
    </row>
    <row r="4" spans="1:44" ht="111.95" customHeight="1" x14ac:dyDescent="0.45">
      <c r="B4" s="13" t="s">
        <v>29</v>
      </c>
      <c r="C4" s="30">
        <v>0</v>
      </c>
      <c r="D4" s="31"/>
      <c r="E4" s="32"/>
      <c r="F4" s="30">
        <v>0</v>
      </c>
      <c r="G4" s="31"/>
      <c r="H4" s="32"/>
      <c r="I4" s="30">
        <v>0</v>
      </c>
      <c r="J4" s="31"/>
      <c r="K4" s="32"/>
      <c r="L4" s="30">
        <v>0</v>
      </c>
      <c r="M4" s="31"/>
      <c r="N4" s="32"/>
      <c r="O4" s="30">
        <v>0</v>
      </c>
      <c r="P4" s="31"/>
      <c r="Q4" s="32"/>
      <c r="R4" s="30">
        <v>0</v>
      </c>
      <c r="S4" s="31"/>
      <c r="T4" s="32"/>
      <c r="U4" s="30">
        <v>0</v>
      </c>
      <c r="V4" s="31"/>
      <c r="W4" s="32"/>
      <c r="X4" s="30">
        <v>0</v>
      </c>
      <c r="Y4" s="31"/>
      <c r="Z4" s="32"/>
      <c r="AA4" s="30">
        <v>0</v>
      </c>
      <c r="AB4" s="31"/>
      <c r="AC4" s="32"/>
      <c r="AD4" s="30">
        <v>0</v>
      </c>
      <c r="AE4" s="31"/>
      <c r="AF4" s="32"/>
      <c r="AG4" s="30">
        <v>0</v>
      </c>
      <c r="AH4" s="31"/>
      <c r="AI4" s="32"/>
      <c r="AJ4" s="30">
        <v>0</v>
      </c>
      <c r="AK4" s="31"/>
      <c r="AL4" s="32"/>
      <c r="AM4" s="30">
        <v>0</v>
      </c>
      <c r="AN4" s="31"/>
      <c r="AO4" s="32"/>
      <c r="AP4" s="30">
        <v>0</v>
      </c>
      <c r="AQ4" s="31"/>
      <c r="AR4" s="32"/>
    </row>
    <row r="5" spans="1:44" ht="184.5" x14ac:dyDescent="0.45">
      <c r="B5" s="13" t="s">
        <v>30</v>
      </c>
      <c r="C5" s="30"/>
      <c r="D5" s="31"/>
      <c r="E5" s="32"/>
      <c r="F5" s="30"/>
      <c r="G5" s="31"/>
      <c r="H5" s="32"/>
      <c r="I5" s="30"/>
      <c r="J5" s="31"/>
      <c r="K5" s="32"/>
      <c r="L5" s="30"/>
      <c r="M5" s="31"/>
      <c r="N5" s="32"/>
      <c r="O5" s="30"/>
      <c r="P5" s="31"/>
      <c r="Q5" s="32"/>
      <c r="R5" s="30"/>
      <c r="S5" s="31"/>
      <c r="T5" s="32"/>
      <c r="U5" s="30"/>
      <c r="V5" s="31"/>
      <c r="W5" s="32"/>
      <c r="X5" s="30"/>
      <c r="Y5" s="31"/>
      <c r="Z5" s="32"/>
      <c r="AA5" s="30"/>
      <c r="AB5" s="31"/>
      <c r="AC5" s="32"/>
      <c r="AD5" s="30"/>
      <c r="AE5" s="31"/>
      <c r="AF5" s="32"/>
      <c r="AG5" s="30"/>
      <c r="AH5" s="31"/>
      <c r="AI5" s="32"/>
      <c r="AJ5" s="30"/>
      <c r="AK5" s="31"/>
      <c r="AL5" s="32"/>
      <c r="AM5" s="30"/>
      <c r="AN5" s="31"/>
      <c r="AO5" s="32"/>
      <c r="AP5" s="30"/>
      <c r="AQ5" s="31"/>
      <c r="AR5" s="32"/>
    </row>
    <row r="6" spans="1:44" ht="80.650000000000006" customHeight="1" x14ac:dyDescent="0.45">
      <c r="B6" s="13" t="s">
        <v>28</v>
      </c>
      <c r="C6" s="30"/>
      <c r="D6" s="31"/>
      <c r="E6" s="32"/>
      <c r="F6" s="30"/>
      <c r="G6" s="31"/>
      <c r="H6" s="32"/>
      <c r="I6" s="30"/>
      <c r="J6" s="31"/>
      <c r="K6" s="32"/>
      <c r="L6" s="30"/>
      <c r="M6" s="31"/>
      <c r="N6" s="32"/>
      <c r="O6" s="30"/>
      <c r="P6" s="31"/>
      <c r="Q6" s="32"/>
      <c r="R6" s="30"/>
      <c r="S6" s="31"/>
      <c r="T6" s="32"/>
      <c r="U6" s="30"/>
      <c r="V6" s="31"/>
      <c r="W6" s="32"/>
      <c r="X6" s="30"/>
      <c r="Y6" s="31"/>
      <c r="Z6" s="32"/>
      <c r="AA6" s="30"/>
      <c r="AB6" s="31"/>
      <c r="AC6" s="32"/>
      <c r="AD6" s="30"/>
      <c r="AE6" s="31"/>
      <c r="AF6" s="32"/>
      <c r="AG6" s="30"/>
      <c r="AH6" s="31"/>
      <c r="AI6" s="32"/>
      <c r="AJ6" s="30"/>
      <c r="AK6" s="31"/>
      <c r="AL6" s="32"/>
      <c r="AM6" s="30"/>
      <c r="AN6" s="31"/>
      <c r="AO6" s="32"/>
      <c r="AP6" s="30"/>
      <c r="AQ6" s="31"/>
      <c r="AR6" s="32"/>
    </row>
    <row r="7" spans="1:44" ht="46.15" x14ac:dyDescent="0.45">
      <c r="B7" s="13" t="s">
        <v>27</v>
      </c>
      <c r="C7" s="30"/>
      <c r="D7" s="31"/>
      <c r="E7" s="32"/>
      <c r="F7" s="30"/>
      <c r="G7" s="31"/>
      <c r="H7" s="32"/>
      <c r="I7" s="30"/>
      <c r="J7" s="31"/>
      <c r="K7" s="32"/>
      <c r="L7" s="30"/>
      <c r="M7" s="31"/>
      <c r="N7" s="32"/>
      <c r="O7" s="30"/>
      <c r="P7" s="31"/>
      <c r="Q7" s="32"/>
      <c r="R7" s="30"/>
      <c r="S7" s="31"/>
      <c r="T7" s="32"/>
      <c r="U7" s="30"/>
      <c r="V7" s="31"/>
      <c r="W7" s="32"/>
      <c r="X7" s="30"/>
      <c r="Y7" s="31"/>
      <c r="Z7" s="32"/>
      <c r="AA7" s="30"/>
      <c r="AB7" s="31"/>
      <c r="AC7" s="32"/>
      <c r="AD7" s="30"/>
      <c r="AE7" s="31"/>
      <c r="AF7" s="32"/>
      <c r="AG7" s="30"/>
      <c r="AH7" s="31"/>
      <c r="AI7" s="32"/>
      <c r="AJ7" s="30"/>
      <c r="AK7" s="31"/>
      <c r="AL7" s="32"/>
      <c r="AM7" s="30"/>
      <c r="AN7" s="31"/>
      <c r="AO7" s="32"/>
      <c r="AP7" s="30"/>
      <c r="AQ7" s="31"/>
      <c r="AR7" s="32"/>
    </row>
    <row r="8" spans="1:44" ht="46.15" x14ac:dyDescent="0.45">
      <c r="B8" s="13" t="s">
        <v>25</v>
      </c>
      <c r="C8" s="30"/>
      <c r="D8" s="31"/>
      <c r="E8" s="32"/>
      <c r="F8" s="30"/>
      <c r="G8" s="31"/>
      <c r="H8" s="32"/>
      <c r="I8" s="30"/>
      <c r="J8" s="31"/>
      <c r="K8" s="32"/>
      <c r="L8" s="30"/>
      <c r="M8" s="31"/>
      <c r="N8" s="32"/>
      <c r="O8" s="30"/>
      <c r="P8" s="31"/>
      <c r="Q8" s="32"/>
      <c r="R8" s="30"/>
      <c r="S8" s="31"/>
      <c r="T8" s="32"/>
      <c r="U8" s="30"/>
      <c r="V8" s="31"/>
      <c r="W8" s="32"/>
      <c r="X8" s="30"/>
      <c r="Y8" s="31"/>
      <c r="Z8" s="32"/>
      <c r="AA8" s="30"/>
      <c r="AB8" s="31"/>
      <c r="AC8" s="32"/>
      <c r="AD8" s="30"/>
      <c r="AE8" s="31"/>
      <c r="AF8" s="32"/>
      <c r="AG8" s="30"/>
      <c r="AH8" s="31"/>
      <c r="AI8" s="32"/>
      <c r="AJ8" s="30"/>
      <c r="AK8" s="31"/>
      <c r="AL8" s="32"/>
      <c r="AM8" s="30"/>
      <c r="AN8" s="31"/>
      <c r="AO8" s="32"/>
      <c r="AP8" s="30"/>
      <c r="AQ8" s="31"/>
      <c r="AR8" s="32"/>
    </row>
    <row r="9" spans="1:44" ht="61.5" x14ac:dyDescent="0.45">
      <c r="B9" s="13" t="s">
        <v>26</v>
      </c>
      <c r="C9" s="30"/>
      <c r="D9" s="31"/>
      <c r="E9" s="32"/>
      <c r="F9" s="30"/>
      <c r="G9" s="31"/>
      <c r="H9" s="32"/>
      <c r="I9" s="30"/>
      <c r="J9" s="31"/>
      <c r="K9" s="32"/>
      <c r="L9" s="30"/>
      <c r="M9" s="31"/>
      <c r="N9" s="32"/>
      <c r="O9" s="30"/>
      <c r="P9" s="31"/>
      <c r="Q9" s="32"/>
      <c r="R9" s="30"/>
      <c r="S9" s="31"/>
      <c r="T9" s="32"/>
      <c r="U9" s="30"/>
      <c r="V9" s="31"/>
      <c r="W9" s="32"/>
      <c r="X9" s="30"/>
      <c r="Y9" s="31"/>
      <c r="Z9" s="32"/>
      <c r="AA9" s="30"/>
      <c r="AB9" s="31"/>
      <c r="AC9" s="32"/>
      <c r="AD9" s="30"/>
      <c r="AE9" s="31"/>
      <c r="AF9" s="32"/>
      <c r="AG9" s="30"/>
      <c r="AH9" s="31"/>
      <c r="AI9" s="32"/>
      <c r="AJ9" s="30"/>
      <c r="AK9" s="31"/>
      <c r="AL9" s="32"/>
      <c r="AM9" s="30"/>
      <c r="AN9" s="31"/>
      <c r="AO9" s="32"/>
      <c r="AP9" s="30"/>
      <c r="AQ9" s="31"/>
      <c r="AR9" s="32"/>
    </row>
    <row r="10" spans="1:44" x14ac:dyDescent="0.45">
      <c r="B10" s="33"/>
      <c r="C10" s="34"/>
      <c r="D10" s="35"/>
      <c r="E10" s="36"/>
      <c r="F10" s="34"/>
      <c r="G10" s="35"/>
      <c r="H10" s="36"/>
      <c r="I10" s="34"/>
      <c r="J10" s="35"/>
      <c r="K10" s="36"/>
      <c r="L10" s="34"/>
      <c r="M10" s="35"/>
      <c r="N10" s="36"/>
      <c r="O10" s="34"/>
      <c r="P10" s="35"/>
      <c r="Q10" s="36"/>
      <c r="R10" s="34"/>
      <c r="S10" s="35"/>
      <c r="T10" s="36"/>
      <c r="U10" s="34"/>
      <c r="V10" s="35"/>
      <c r="W10" s="36"/>
      <c r="X10" s="34"/>
      <c r="Y10" s="35"/>
      <c r="Z10" s="36"/>
      <c r="AA10" s="34"/>
      <c r="AB10" s="35"/>
      <c r="AC10" s="36"/>
      <c r="AD10" s="34"/>
      <c r="AE10" s="35"/>
      <c r="AF10" s="36"/>
      <c r="AG10" s="34"/>
      <c r="AH10" s="35"/>
      <c r="AI10" s="36"/>
      <c r="AJ10" s="34"/>
      <c r="AK10" s="35"/>
      <c r="AL10" s="36"/>
      <c r="AM10" s="34"/>
      <c r="AN10" s="35"/>
      <c r="AO10" s="36"/>
      <c r="AP10" s="34"/>
      <c r="AQ10" s="35"/>
      <c r="AR10" s="36"/>
    </row>
    <row r="11" spans="1:44" s="2" customFormat="1" x14ac:dyDescent="0.45">
      <c r="A11" s="1"/>
      <c r="B11" s="47" t="s">
        <v>1</v>
      </c>
      <c r="C11" s="42">
        <f>AVERAGE(C4:C10)</f>
        <v>0</v>
      </c>
      <c r="D11" s="42"/>
      <c r="E11" s="43"/>
      <c r="F11" s="42">
        <f>AVERAGE(F4:F10)</f>
        <v>0</v>
      </c>
      <c r="G11" s="42"/>
      <c r="H11" s="43"/>
      <c r="I11" s="42">
        <f>AVERAGE(I4:I10)</f>
        <v>0</v>
      </c>
      <c r="J11" s="42"/>
      <c r="K11" s="43"/>
      <c r="L11" s="42">
        <f>AVERAGE(L4:L10)</f>
        <v>0</v>
      </c>
      <c r="M11" s="42"/>
      <c r="N11" s="43"/>
      <c r="O11" s="42">
        <f>AVERAGE(O4:O10)</f>
        <v>0</v>
      </c>
      <c r="P11" s="42"/>
      <c r="Q11" s="43"/>
      <c r="R11" s="42">
        <f>AVERAGE(R4:R10)</f>
        <v>0</v>
      </c>
      <c r="S11" s="42"/>
      <c r="T11" s="43"/>
      <c r="U11" s="42">
        <f>AVERAGE(U4:U10)</f>
        <v>0</v>
      </c>
      <c r="V11" s="42"/>
      <c r="W11" s="43"/>
      <c r="X11" s="42">
        <f>AVERAGE(X4:X10)</f>
        <v>0</v>
      </c>
      <c r="Y11" s="42"/>
      <c r="Z11" s="43"/>
      <c r="AA11" s="42">
        <f>AVERAGE(AA4:AA10)</f>
        <v>0</v>
      </c>
      <c r="AB11" s="42"/>
      <c r="AC11" s="43"/>
      <c r="AD11" s="42">
        <f>AVERAGE(AD4:AD10)</f>
        <v>0</v>
      </c>
      <c r="AE11" s="42"/>
      <c r="AF11" s="43"/>
      <c r="AG11" s="42">
        <f>AVERAGE(AG4:AG10)</f>
        <v>0</v>
      </c>
      <c r="AH11" s="42"/>
      <c r="AI11" s="43"/>
      <c r="AJ11" s="42">
        <f>AVERAGE(AJ4:AJ10)</f>
        <v>0</v>
      </c>
      <c r="AK11" s="42"/>
      <c r="AL11" s="43"/>
      <c r="AM11" s="42">
        <f>AVERAGE(AM4:AM10)</f>
        <v>0</v>
      </c>
      <c r="AN11" s="42"/>
      <c r="AO11" s="43"/>
      <c r="AP11" s="42">
        <f>AVERAGE(AP4:AP10)</f>
        <v>0</v>
      </c>
      <c r="AQ11" s="42"/>
      <c r="AR11" s="43"/>
    </row>
    <row r="12" spans="1:44" s="10" customFormat="1" x14ac:dyDescent="0.45">
      <c r="B12" s="3"/>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row>
    <row r="13" spans="1:44" s="10" customFormat="1" x14ac:dyDescent="0.45">
      <c r="B13" s="9"/>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row>
    <row r="14" spans="1:44" s="10" customFormat="1" x14ac:dyDescent="0.45">
      <c r="B14" s="9"/>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row>
    <row r="15" spans="1:44" s="10" customFormat="1" x14ac:dyDescent="0.45">
      <c r="B15" s="9"/>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row>
    <row r="16" spans="1:44" s="10" customFormat="1" x14ac:dyDescent="0.45">
      <c r="B16" s="9"/>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row>
    <row r="17" spans="2:44" s="10" customFormat="1" x14ac:dyDescent="0.45">
      <c r="B17" s="9"/>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row>
    <row r="18" spans="2:44" s="10" customFormat="1" x14ac:dyDescent="0.45">
      <c r="B18" s="9"/>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row>
    <row r="19" spans="2:44" s="10" customFormat="1" x14ac:dyDescent="0.45">
      <c r="B19" s="9"/>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row>
    <row r="20" spans="2:44" s="10" customFormat="1" x14ac:dyDescent="0.45">
      <c r="B20" s="9"/>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row>
    <row r="21" spans="2:44" s="10" customFormat="1" x14ac:dyDescent="0.45">
      <c r="B21" s="9"/>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row>
    <row r="22" spans="2:44" s="10" customFormat="1" x14ac:dyDescent="0.45">
      <c r="B22" s="9"/>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row>
    <row r="23" spans="2:44" s="10" customFormat="1" x14ac:dyDescent="0.45">
      <c r="B23" s="9"/>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row>
    <row r="24" spans="2:44" s="10" customFormat="1" x14ac:dyDescent="0.45">
      <c r="B24" s="9"/>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row>
    <row r="25" spans="2:44" s="10" customFormat="1" x14ac:dyDescent="0.45">
      <c r="B25" s="9"/>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row>
    <row r="26" spans="2:44" s="10" customFormat="1" x14ac:dyDescent="0.45">
      <c r="B26" s="9"/>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row>
    <row r="27" spans="2:44" s="10" customFormat="1" x14ac:dyDescent="0.45">
      <c r="B27" s="9"/>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row>
    <row r="28" spans="2:44" s="10" customFormat="1" x14ac:dyDescent="0.45">
      <c r="B28" s="9"/>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row>
    <row r="29" spans="2:44" s="10" customFormat="1" x14ac:dyDescent="0.45">
      <c r="B29" s="9"/>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row>
    <row r="30" spans="2:44" s="10" customFormat="1" x14ac:dyDescent="0.45">
      <c r="B30" s="9"/>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row>
    <row r="31" spans="2:44" s="10" customFormat="1" x14ac:dyDescent="0.45">
      <c r="B31" s="9"/>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row>
    <row r="32" spans="2:44" s="10" customFormat="1" x14ac:dyDescent="0.45">
      <c r="B32" s="9"/>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row>
    <row r="33" spans="2:44" s="10" customFormat="1" x14ac:dyDescent="0.45">
      <c r="B33" s="9"/>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row>
    <row r="34" spans="2:44" s="10" customFormat="1" x14ac:dyDescent="0.45">
      <c r="B34" s="9"/>
      <c r="C34" s="8"/>
      <c r="D34" s="8"/>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row>
    <row r="35" spans="2:44" s="10" customFormat="1" x14ac:dyDescent="0.45">
      <c r="B35" s="9"/>
      <c r="C35" s="8"/>
      <c r="D35" s="8"/>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row>
    <row r="36" spans="2:44" s="10" customFormat="1" x14ac:dyDescent="0.45">
      <c r="B36" s="9"/>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row>
    <row r="37" spans="2:44" s="10" customFormat="1" x14ac:dyDescent="0.45">
      <c r="B37" s="9"/>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row>
    <row r="38" spans="2:44" s="10" customFormat="1" x14ac:dyDescent="0.45">
      <c r="B38" s="9"/>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row>
    <row r="39" spans="2:44" s="10" customFormat="1" x14ac:dyDescent="0.45">
      <c r="B39" s="9"/>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row>
    <row r="40" spans="2:44" s="10" customFormat="1" x14ac:dyDescent="0.45">
      <c r="B40" s="9"/>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row>
    <row r="41" spans="2:44" s="10" customFormat="1" x14ac:dyDescent="0.45">
      <c r="B41" s="9"/>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row>
    <row r="42" spans="2:44" s="10" customFormat="1" x14ac:dyDescent="0.45">
      <c r="B42" s="9"/>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row>
    <row r="43" spans="2:44" s="10" customFormat="1" x14ac:dyDescent="0.45">
      <c r="B43" s="9"/>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row>
    <row r="44" spans="2:44" s="10" customFormat="1" x14ac:dyDescent="0.45">
      <c r="B44" s="9"/>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row>
    <row r="45" spans="2:44" s="10" customFormat="1" x14ac:dyDescent="0.45">
      <c r="B45" s="9"/>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row>
    <row r="46" spans="2:44" s="10" customFormat="1" x14ac:dyDescent="0.45">
      <c r="B46" s="9"/>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row>
    <row r="47" spans="2:44" s="10" customFormat="1" x14ac:dyDescent="0.45">
      <c r="B47" s="9"/>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row>
  </sheetData>
  <mergeCells count="29">
    <mergeCell ref="AP2:AR2"/>
    <mergeCell ref="AP11:AR11"/>
    <mergeCell ref="C2:E2"/>
    <mergeCell ref="C11:E11"/>
    <mergeCell ref="F11:H11"/>
    <mergeCell ref="AJ2:AL2"/>
    <mergeCell ref="AM2:AO2"/>
    <mergeCell ref="AG2:AI2"/>
    <mergeCell ref="AD2:AF2"/>
    <mergeCell ref="AA2:AC2"/>
    <mergeCell ref="X2:Z2"/>
    <mergeCell ref="O2:Q2"/>
    <mergeCell ref="F2:H2"/>
    <mergeCell ref="U2:W2"/>
    <mergeCell ref="R2:T2"/>
    <mergeCell ref="L2:N2"/>
    <mergeCell ref="B2:B3"/>
    <mergeCell ref="U11:W11"/>
    <mergeCell ref="AM11:AO11"/>
    <mergeCell ref="X11:Z11"/>
    <mergeCell ref="AA11:AC11"/>
    <mergeCell ref="AD11:AF11"/>
    <mergeCell ref="AG11:AI11"/>
    <mergeCell ref="AJ11:AL11"/>
    <mergeCell ref="I2:K2"/>
    <mergeCell ref="I11:K11"/>
    <mergeCell ref="L11:N11"/>
    <mergeCell ref="O11:Q11"/>
    <mergeCell ref="R11:T11"/>
  </mergeCells>
  <printOptions horizontalCentered="1"/>
  <pageMargins left="0.23622047244094491" right="0.23622047244094491" top="0.74803149606299213" bottom="0.74803149606299213" header="0.31496062992125984" footer="0.31496062992125984"/>
  <pageSetup orientation="landscape"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Calificacion</vt:lpstr>
      <vt:lpstr>Detalle</vt:lpstr>
      <vt:lpstr>Detalle!Print_Area</vt:lpstr>
      <vt:lpstr>Detalle!Print_Titles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WILLIAM RICARDO AGUILAR PIÑA</cp:lastModifiedBy>
  <cp:lastPrinted>2024-08-11T16:27:19Z</cp:lastPrinted>
  <dcterms:created xsi:type="dcterms:W3CDTF">2018-11-28T14:19:17Z</dcterms:created>
  <dcterms:modified xsi:type="dcterms:W3CDTF">2025-08-05T15:46:25Z</dcterms:modified>
</cp:coreProperties>
</file>