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1"/>
  <workbookPr updateLinks="never" codeName="ThisWorkbook" defaultThemeVersion="166925"/>
  <mc:AlternateContent xmlns:mc="http://schemas.openxmlformats.org/markup-compatibility/2006">
    <mc:Choice Requires="x15">
      <x15ac:absPath xmlns:x15ac="http://schemas.microsoft.com/office/spreadsheetml/2010/11/ac" url="D:\R.HCMC\activity\M03A04\"/>
    </mc:Choice>
  </mc:AlternateContent>
  <xr:revisionPtr revIDLastSave="0" documentId="13_ncr:1_{E1B28E74-5731-490D-8930-0E661BD0F32B}" xr6:coauthVersionLast="47" xr6:coauthVersionMax="47" xr10:uidLastSave="{00000000-0000-0000-0000-000000000000}"/>
  <bookViews>
    <workbookView xWindow="-98" yWindow="-98" windowWidth="28996" windowHeight="15675" activeTab="1" xr2:uid="{CB4A84EB-58A9-4828-A1EC-5E14AACD60D5}"/>
  </bookViews>
  <sheets>
    <sheet name="Calificacion" sheetId="12" r:id="rId1"/>
    <sheet name="Detalle" sheetId="10" r:id="rId2"/>
  </sheets>
  <definedNames>
    <definedName name="_xlnm.Print_Area" localSheetId="1">Detalle!$B$1:$E$10</definedName>
    <definedName name="_xlnm.Print_Titles" localSheetId="1">Detalle!$1:$3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0" l="1"/>
  <c r="B19" i="12"/>
  <c r="AP10" i="10" l="1"/>
  <c r="D18" i="12" s="1"/>
  <c r="F18" i="12" s="1"/>
  <c r="AM10" i="10"/>
  <c r="D17" i="12" s="1"/>
  <c r="F17" i="12" s="1"/>
  <c r="AJ10" i="10"/>
  <c r="D16" i="12" s="1"/>
  <c r="F16" i="12" s="1"/>
  <c r="AG10" i="10"/>
  <c r="D15" i="12" s="1"/>
  <c r="F15" i="12" s="1"/>
  <c r="AD10" i="10"/>
  <c r="D14" i="12" s="1"/>
  <c r="F14" i="12" s="1"/>
  <c r="AA10" i="10"/>
  <c r="D13" i="12" s="1"/>
  <c r="F13" i="12" s="1"/>
  <c r="X10" i="10"/>
  <c r="U10" i="10"/>
  <c r="R10" i="10"/>
  <c r="O10" i="10"/>
  <c r="L10" i="10"/>
  <c r="F10" i="10"/>
  <c r="AP2" i="10"/>
  <c r="AM2" i="10"/>
  <c r="AJ2" i="10"/>
  <c r="AG2" i="10"/>
  <c r="AD2" i="10"/>
  <c r="AA2" i="10"/>
  <c r="X2" i="10"/>
  <c r="U2" i="10"/>
  <c r="R2" i="10"/>
  <c r="O2" i="10"/>
  <c r="L2" i="10"/>
  <c r="I2" i="10"/>
  <c r="F2" i="10"/>
  <c r="C2" i="10"/>
  <c r="C10" i="10"/>
  <c r="D5" i="12" s="1"/>
  <c r="F5" i="12" s="1"/>
  <c r="D12" i="12" l="1"/>
  <c r="F12" i="12" s="1"/>
  <c r="D11" i="12"/>
  <c r="F11" i="12" s="1"/>
  <c r="D10" i="12"/>
  <c r="F10" i="12" s="1"/>
  <c r="D9" i="12"/>
  <c r="F9" i="12" s="1"/>
  <c r="D8" i="12"/>
  <c r="F8" i="12" s="1"/>
  <c r="I10" i="10"/>
  <c r="D7" i="12" s="1"/>
  <c r="F7" i="12" s="1"/>
  <c r="D6" i="12"/>
  <c r="F6" i="12" s="1"/>
</calcChain>
</file>

<file path=xl/sharedStrings.xml><?xml version="1.0" encoding="utf-8"?>
<sst xmlns="http://schemas.openxmlformats.org/spreadsheetml/2006/main" count="70" uniqueCount="30">
  <si>
    <t>Observaciones</t>
  </si>
  <si>
    <t>Calificación</t>
  </si>
  <si>
    <t>Código</t>
  </si>
  <si>
    <t>Requerimiento</t>
  </si>
  <si>
    <t>Valor</t>
  </si>
  <si>
    <t>Luego de modificación del modelo y la ejecución completa en condiciones de flujo permanente y no permanente, comprimir como HECRAS_v1.zip</t>
  </si>
  <si>
    <t>Crear un único reporte en Adobe Acrobat que muestre capturas de pantalla detalladas del proceso de modelación con perfiles de cada río, secciones de inicio y entrega del cauce sinuoso diseñado, la planta original del modelo y la planta con las modificaciones realizadas para modelar establemente a flujo no permanente, nombrar como HCMC0024_HECRAS.pdf. Incluir portada, tabla de contenido, numeración de páginas y observaciones detalladas.</t>
  </si>
  <si>
    <t>Flujo no permanente: para el modelo como HECRAS_v1, ejecutar la modelación en condiciones de flujo permanente para 2.33, 25, 100 años de periodo de retorno y los periodos de retorno considerados en la entrega anterior del proyecto final, presentar el perfil de flujo de la envolvente de máximos del cauce principal, los cauces laterales y las secciones naturales y de diseño de inicio y entrega con todas las profundidades de lámina de agua máximos para todos los periodos de retorno evaluados. En caso de que no pueda ser ejecutado en flujo no permanente, crear una copia de la geometría, depurar o eliminar secciones naturales donde se presentan controles de flujo hasta obtener un modelo estable en esta condición. En el reporte integrado indicar las consideraciones generales para la modificación de la geometría del modelo hidráulico.</t>
  </si>
  <si>
    <t>Flujo permanente: para el modelo HECRAS_v1, ejecutar la modelación en condiciones de flujo permanente para los periodos de retorno considerados en la entrega anterior del proyecto final, presentar el perfil de flujo del cauce principal, los cauces laterales, localización de profundidades críticas y para las secciones naturales y de diseño de inicio y entrega mostrar las profundidades de lámina de agua para todos los periodos de retorno evaluados, caudal medio y caudal ecológico.</t>
  </si>
  <si>
    <t>Calificar sobre</t>
  </si>
  <si>
    <t>Calificación final</t>
  </si>
  <si>
    <t>Calificación Instructor</t>
  </si>
  <si>
    <t>Autocalificación Alumno</t>
  </si>
  <si>
    <t>Grupo 1</t>
  </si>
  <si>
    <t>Grupo 2</t>
  </si>
  <si>
    <t>Grupo 4</t>
  </si>
  <si>
    <t>Grupo 3</t>
  </si>
  <si>
    <t>Grupo 5</t>
  </si>
  <si>
    <t>Considere, analice y explique el tipo o los tipos de regímenes de flujo a aplicar a partir de los posible controles hidráulicos que existen en el canal. Indicar la abscisa de las secciones transversales donde se presentan los posibles controles. Analizar a partir de las profundidades críticas obtenidas en la modelación de flujo permanente. (opcional)</t>
  </si>
  <si>
    <t>Calificación: 3.4. Modelación unidimensional en condiciones de flujo permanente y no permanente</t>
  </si>
  <si>
    <t>M03A04</t>
  </si>
  <si>
    <t>Grupo 6</t>
  </si>
  <si>
    <t>Grupo 7</t>
  </si>
  <si>
    <t>Grupo 8</t>
  </si>
  <si>
    <t>Grupo 9</t>
  </si>
  <si>
    <t>Grupo 10</t>
  </si>
  <si>
    <t>Grupo 11</t>
  </si>
  <si>
    <t>Grupo 12</t>
  </si>
  <si>
    <t>Grupo 13</t>
  </si>
  <si>
    <t>Grupo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</si>
</sst>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u/>
      <sz val="11"/>
      <color theme="10"/>
      <name val="Calibri"/>
      <family val="2"/>
      <scheme val="minor"/>
    </font>
    <font>
      <sz val="11"/>
      <color theme="1"/>
      <name val="Calibri"/>
      <family val="2"/>
      <scheme val="minor"/>
    </font>
    <font>
      <u/>
      <sz val="10"/>
      <color theme="10"/>
      <name val="Calibri Light"/>
      <family val="2"/>
    </font>
    <font>
      <sz val="10"/>
      <color theme="1"/>
      <name val="Calibri Light"/>
      <family val="2"/>
    </font>
    <font>
      <sz val="10"/>
      <color theme="1"/>
      <name val="Segoe UI Light"/>
      <family val="2"/>
    </font>
    <font>
      <sz val="10"/>
      <name val="Segoe UI Light"/>
      <family val="2"/>
    </font>
    <font>
      <u/>
      <sz val="10"/>
      <name val="Segoe UI Light"/>
      <family val="2"/>
    </font>
    <font>
      <sz val="8"/>
      <name val="Segoe UI Light"/>
      <family val="2"/>
    </font>
    <font>
      <sz val="11"/>
      <color theme="1"/>
      <name val="Segoe UI Light"/>
      <family val="2"/>
    </font>
    <font>
      <sz val="8"/>
      <color rgb="FF0070C0"/>
      <name val="Segoe UI Light"/>
      <family val="2"/>
    </font>
    <font>
      <sz val="8"/>
      <color theme="1"/>
      <name val="Segoe UI Light"/>
      <family val="2"/>
    </font>
    <font>
      <sz val="8"/>
      <name val="Calibri"/>
      <family val="2"/>
      <scheme val="minor"/>
    </font>
    <font>
      <sz val="10"/>
      <color rgb="FF0070C0"/>
      <name val="Segoe UI Light"/>
      <family val="2"/>
    </font>
  </fonts>
  <fills count="3">
    <fill>
      <patternFill patternType="none"/>
    </fill>
    <fill>
      <patternFill patternType="gray125"/>
    </fill>
    <fill>
      <patternFill patternType="solid">
        <fgColor theme="0" tint="-4.9989318521683403E-2"/>
        <bgColor indexed="64"/>
      </patternFill>
    </fill>
  </fills>
  <borders count="14">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indexed="64"/>
      </left>
      <right/>
      <top style="thin">
        <color indexed="64"/>
      </top>
      <bottom style="thin">
        <color theme="0" tint="-4.9989318521683403E-2"/>
      </bottom>
      <diagonal/>
    </border>
    <border>
      <left style="thin">
        <color indexed="64"/>
      </left>
      <right/>
      <top style="thin">
        <color theme="0" tint="-4.9989318521683403E-2"/>
      </top>
      <bottom style="thin">
        <color theme="0" tint="-4.9989318521683403E-2"/>
      </bottom>
      <diagonal/>
    </border>
    <border>
      <left style="thin">
        <color indexed="64"/>
      </left>
      <right/>
      <top style="thin">
        <color theme="0" tint="-4.9989318521683403E-2"/>
      </top>
      <bottom style="thin">
        <color indexed="64"/>
      </bottom>
      <diagonal/>
    </border>
    <border>
      <left/>
      <right/>
      <top/>
      <bottom style="thin">
        <color indexed="64"/>
      </bottom>
      <diagonal/>
    </border>
  </borders>
  <cellStyleXfs count="6">
    <xf numFmtId="0" fontId="0" fillId="0" borderId="0"/>
    <xf numFmtId="0" fontId="1" fillId="0" borderId="0" applyNumberFormat="0" applyFill="0" applyBorder="0" applyAlignment="0" applyProtection="0"/>
    <xf numFmtId="0" fontId="3" fillId="0" borderId="0" applyNumberFormat="0" applyFill="0" applyBorder="0" applyAlignment="0" applyProtection="0"/>
    <xf numFmtId="0" fontId="4" fillId="0" borderId="0"/>
    <xf numFmtId="0" fontId="2" fillId="0" borderId="0"/>
    <xf numFmtId="43" fontId="4" fillId="0" borderId="0" applyFont="0" applyFill="0" applyBorder="0" applyAlignment="0" applyProtection="0"/>
  </cellStyleXfs>
  <cellXfs count="45">
    <xf numFmtId="0" fontId="0" fillId="0" borderId="0" xfId="0"/>
    <xf numFmtId="0" fontId="6" fillId="0" borderId="0" xfId="4" applyFont="1" applyAlignment="1">
      <alignment horizontal="left" vertical="top"/>
    </xf>
    <xf numFmtId="0" fontId="6" fillId="0" borderId="0" xfId="0" applyFont="1" applyAlignment="1">
      <alignment horizontal="left" vertical="top" wrapText="1"/>
    </xf>
    <xf numFmtId="0" fontId="8" fillId="0" borderId="0" xfId="0" applyFont="1" applyAlignment="1">
      <alignment horizontal="left" vertical="top"/>
    </xf>
    <xf numFmtId="0" fontId="5" fillId="0" borderId="4" xfId="0" applyFont="1" applyBorder="1" applyAlignment="1">
      <alignment horizontal="center" vertical="top"/>
    </xf>
    <xf numFmtId="0" fontId="5" fillId="0" borderId="0" xfId="0" applyFont="1" applyAlignment="1">
      <alignment vertical="top"/>
    </xf>
    <xf numFmtId="0" fontId="7" fillId="0" borderId="0" xfId="2" applyFont="1" applyFill="1" applyAlignment="1">
      <alignment horizontal="right" vertical="top"/>
    </xf>
    <xf numFmtId="0" fontId="8" fillId="0" borderId="0" xfId="1" applyFont="1" applyAlignment="1">
      <alignment horizontal="left" vertical="top"/>
    </xf>
    <xf numFmtId="0" fontId="6" fillId="0" borderId="0" xfId="0" applyFont="1" applyAlignment="1">
      <alignment horizontal="center" vertical="top" wrapText="1"/>
    </xf>
    <xf numFmtId="0" fontId="6" fillId="0" borderId="0" xfId="0" applyFont="1" applyAlignment="1">
      <alignment vertical="top" wrapText="1"/>
    </xf>
    <xf numFmtId="0" fontId="6" fillId="0" borderId="0" xfId="4" applyFont="1" applyAlignment="1">
      <alignment horizontal="right" vertical="top"/>
    </xf>
    <xf numFmtId="0" fontId="6" fillId="0" borderId="0" xfId="0" applyFont="1" applyAlignment="1">
      <alignment vertical="top"/>
    </xf>
    <xf numFmtId="0" fontId="6" fillId="2" borderId="1" xfId="0" applyFont="1" applyFill="1" applyBorder="1" applyAlignment="1">
      <alignment horizontal="center" vertical="top" wrapText="1"/>
    </xf>
    <xf numFmtId="164" fontId="6" fillId="0" borderId="11" xfId="0" applyNumberFormat="1" applyFont="1" applyBorder="1" applyAlignment="1" applyProtection="1">
      <alignment horizontal="left" vertical="top" wrapText="1"/>
      <protection locked="0"/>
    </xf>
    <xf numFmtId="164" fontId="6" fillId="2" borderId="12" xfId="0" applyNumberFormat="1" applyFont="1" applyFill="1" applyBorder="1" applyAlignment="1">
      <alignment horizontal="left" vertical="top" wrapText="1"/>
    </xf>
    <xf numFmtId="0" fontId="6" fillId="2" borderId="4" xfId="0" applyFont="1" applyFill="1" applyBorder="1" applyAlignment="1">
      <alignment horizontal="center" vertical="top" wrapText="1"/>
    </xf>
    <xf numFmtId="0" fontId="6" fillId="2" borderId="5" xfId="0" applyFont="1" applyFill="1" applyBorder="1" applyAlignment="1">
      <alignment horizontal="left" vertical="top" wrapText="1"/>
    </xf>
    <xf numFmtId="0" fontId="5" fillId="0" borderId="0" xfId="0" applyFont="1" applyAlignment="1">
      <alignment horizontal="center" vertical="top" wrapText="1"/>
    </xf>
    <xf numFmtId="0" fontId="9" fillId="2" borderId="2" xfId="0" applyFont="1" applyFill="1" applyBorder="1" applyAlignment="1">
      <alignment horizontal="center" vertical="top" wrapText="1"/>
    </xf>
    <xf numFmtId="0" fontId="9" fillId="2" borderId="8" xfId="0" applyFont="1" applyFill="1" applyBorder="1" applyAlignment="1">
      <alignment horizontal="center" vertical="top" wrapText="1"/>
    </xf>
    <xf numFmtId="0" fontId="9" fillId="2" borderId="3" xfId="0" applyFont="1" applyFill="1" applyBorder="1" applyAlignment="1">
      <alignment horizontal="center" vertical="top" wrapText="1"/>
    </xf>
    <xf numFmtId="2" fontId="6" fillId="0" borderId="1" xfId="0" applyNumberFormat="1" applyFont="1" applyBorder="1" applyAlignment="1">
      <alignment horizontal="center" vertical="top" wrapText="1"/>
    </xf>
    <xf numFmtId="2" fontId="5" fillId="0" borderId="5" xfId="0" applyNumberFormat="1" applyFont="1" applyBorder="1" applyAlignment="1">
      <alignment horizontal="center" vertical="top"/>
    </xf>
    <xf numFmtId="0" fontId="5" fillId="0" borderId="0" xfId="0" applyFont="1" applyAlignment="1">
      <alignment vertical="top" wrapText="1"/>
    </xf>
    <xf numFmtId="0" fontId="5" fillId="2" borderId="8" xfId="0" applyFont="1" applyFill="1" applyBorder="1" applyAlignment="1">
      <alignment horizontal="center"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6" fillId="2" borderId="2"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3" xfId="0" applyFont="1" applyFill="1" applyBorder="1" applyAlignment="1">
      <alignment horizontal="center" vertical="top" wrapText="1"/>
    </xf>
    <xf numFmtId="2" fontId="6" fillId="2" borderId="6" xfId="0" applyNumberFormat="1" applyFont="1" applyFill="1" applyBorder="1" applyAlignment="1">
      <alignment horizontal="center" vertical="top" wrapText="1"/>
    </xf>
    <xf numFmtId="2" fontId="6" fillId="2" borderId="9" xfId="0" applyNumberFormat="1" applyFont="1" applyFill="1" applyBorder="1" applyAlignment="1">
      <alignment horizontal="center" vertical="top" wrapText="1"/>
    </xf>
    <xf numFmtId="0" fontId="6" fillId="2" borderId="7" xfId="0" applyFont="1" applyFill="1" applyBorder="1" applyAlignment="1">
      <alignment horizontal="center"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5" fillId="0" borderId="6" xfId="0" applyFont="1" applyBorder="1" applyAlignment="1">
      <alignment horizontal="center" vertical="top"/>
    </xf>
    <xf numFmtId="2" fontId="6" fillId="0" borderId="9" xfId="0" applyNumberFormat="1" applyFont="1" applyBorder="1" applyAlignment="1">
      <alignment horizontal="center" vertical="top" wrapText="1"/>
    </xf>
    <xf numFmtId="2" fontId="5" fillId="0" borderId="7" xfId="0" applyNumberFormat="1" applyFont="1" applyBorder="1" applyAlignment="1">
      <alignment horizontal="center" vertical="top"/>
    </xf>
    <xf numFmtId="0" fontId="10" fillId="0" borderId="0" xfId="1" applyFont="1" applyBorder="1" applyAlignment="1">
      <alignment horizontal="left" vertical="top"/>
    </xf>
    <xf numFmtId="0" fontId="11" fillId="0" borderId="0" xfId="0" applyFont="1" applyAlignment="1">
      <alignment horizontal="right" vertical="top"/>
    </xf>
    <xf numFmtId="2" fontId="13" fillId="0" borderId="1" xfId="0" applyNumberFormat="1" applyFont="1" applyBorder="1" applyAlignment="1">
      <alignment horizontal="center" vertical="top"/>
    </xf>
    <xf numFmtId="2" fontId="13" fillId="0" borderId="9" xfId="0" applyNumberFormat="1" applyFont="1" applyBorder="1" applyAlignment="1">
      <alignment horizontal="center" vertical="top"/>
    </xf>
    <xf numFmtId="2" fontId="13" fillId="0" borderId="4" xfId="0" applyNumberFormat="1" applyFont="1" applyBorder="1" applyAlignment="1" applyProtection="1">
      <alignment horizontal="center" vertical="top" wrapText="1"/>
      <protection locked="0"/>
    </xf>
    <xf numFmtId="2" fontId="13" fillId="0" borderId="1" xfId="0" applyNumberFormat="1" applyFont="1" applyBorder="1" applyAlignment="1" applyProtection="1">
      <alignment horizontal="center" vertical="top" wrapText="1"/>
      <protection locked="0"/>
    </xf>
    <xf numFmtId="2" fontId="13" fillId="0" borderId="5" xfId="0" applyNumberFormat="1" applyFont="1" applyBorder="1" applyAlignment="1">
      <alignment horizontal="left" vertical="top" wrapText="1"/>
    </xf>
  </cellXfs>
  <cellStyles count="6">
    <cellStyle name="Hipervínculo 2" xfId="2" xr:uid="{31AB4584-48B5-483C-8AA6-C2DF10B27C24}"/>
    <cellStyle name="Hyperlink" xfId="1" builtinId="8"/>
    <cellStyle name="Millares 2" xfId="5" xr:uid="{B2346456-3EA3-414B-995D-FAA581EEA6A8}"/>
    <cellStyle name="Normal" xfId="0" builtinId="0"/>
    <cellStyle name="Normal 2" xfId="4" xr:uid="{5BE8A7FD-F8F9-4363-89EA-43A3CEB9DCAE}"/>
    <cellStyle name="Normal 3" xfId="3" xr:uid="{1BD222BC-86EE-4D01-AA8D-83508C77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Calificacion!$B$2</c:f>
          <c:strCache>
            <c:ptCount val="1"/>
            <c:pt idx="0">
              <c:v>Calificación: 3.4. Modelación unidimensional en condiciones de flujo permanente y no permanente</c:v>
            </c:pt>
          </c:strCache>
        </c:strRef>
      </c:tx>
      <c:layout>
        <c:manualLayout>
          <c:xMode val="edge"/>
          <c:yMode val="edge"/>
          <c:x val="0.15735700265243632"/>
          <c:y val="1.773705827796018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13451837270341208"/>
          <c:y val="0.19414167578894526"/>
          <c:w val="0.83492607174103239"/>
          <c:h val="0.4502210751091682"/>
        </c:manualLayout>
      </c:layout>
      <c:barChart>
        <c:barDir val="col"/>
        <c:grouping val="clustered"/>
        <c:varyColors val="0"/>
        <c:ser>
          <c:idx val="1"/>
          <c:order val="0"/>
          <c:tx>
            <c:strRef>
              <c:f>Calificacion!$F$4</c:f>
              <c:strCache>
                <c:ptCount val="1"/>
                <c:pt idx="0">
                  <c:v>Calificación final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Calificacion!$B$5:$B$9</c:f>
              <c:strCache>
                <c:ptCount val="5"/>
                <c:pt idx="0">
                  <c:v>Grupo 1</c:v>
                </c:pt>
                <c:pt idx="1">
                  <c:v>Grupo 2</c:v>
                </c:pt>
                <c:pt idx="2">
                  <c:v>Grupo 3</c:v>
                </c:pt>
                <c:pt idx="3">
                  <c:v>Grupo 4</c:v>
                </c:pt>
                <c:pt idx="4">
                  <c:v>Grupo 5</c:v>
                </c:pt>
              </c:strCache>
            </c:strRef>
          </c:cat>
          <c:val>
            <c:numRef>
              <c:f>Calificacion!$F$5:$F$9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0008-400B-A26E-B3EF2ECD9D62}"/>
            </c:ext>
          </c:extLst>
        </c:ser>
        <c:dLbls>
          <c:showLegendKey val="0"/>
          <c:showVal val="0"/>
          <c:showCatName val="0"/>
          <c:showSerName val="0"/>
          <c:showPercent val="0"/>
          <c:showBubbleSize val="0"/>
        </c:dLbls>
        <c:gapWidth val="50"/>
        <c:axId val="693552272"/>
        <c:axId val="693552600"/>
      </c:barChart>
      <c:catAx>
        <c:axId val="693552272"/>
        <c:scaling>
          <c:orientation val="minMax"/>
        </c:scaling>
        <c:delete val="0"/>
        <c:axPos val="b"/>
        <c:majorGridlines>
          <c:spPr>
            <a:ln w="6350" cap="flat" cmpd="sng" algn="ctr">
              <a:solidFill>
                <a:schemeClr val="bg1">
                  <a:lumMod val="95000"/>
                </a:schemeClr>
              </a:solidFill>
              <a:prstDash val="sysDot"/>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Código</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6350"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600"/>
        <c:crosses val="autoZero"/>
        <c:auto val="1"/>
        <c:lblAlgn val="ctr"/>
        <c:lblOffset val="100"/>
        <c:noMultiLvlLbl val="0"/>
      </c:catAx>
      <c:valAx>
        <c:axId val="693552600"/>
        <c:scaling>
          <c:orientation val="minMax"/>
          <c:max val="5"/>
          <c:min val="0"/>
        </c:scaling>
        <c:delete val="0"/>
        <c:axPos val="l"/>
        <c:majorGridlines>
          <c:spPr>
            <a:ln w="6350" cap="flat" cmpd="sng" algn="ctr">
              <a:solidFill>
                <a:schemeClr val="bg1">
                  <a:lumMod val="9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Calificación</a:t>
                </a:r>
              </a:p>
            </c:rich>
          </c:tx>
          <c:layout>
            <c:manualLayout>
              <c:xMode val="edge"/>
              <c:yMode val="edge"/>
              <c:x val="1.721592592592593E-2"/>
              <c:y val="0.38034249999999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107598</xdr:colOff>
      <xdr:row>3</xdr:row>
      <xdr:rowOff>99814</xdr:rowOff>
    </xdr:from>
    <xdr:to>
      <xdr:col>14</xdr:col>
      <xdr:colOff>174579</xdr:colOff>
      <xdr:row>19</xdr:row>
      <xdr:rowOff>24382</xdr:rowOff>
    </xdr:to>
    <xdr:graphicFrame macro="">
      <xdr:nvGraphicFramePr>
        <xdr:cNvPr id="2" name="Gráfico 1">
          <a:extLst>
            <a:ext uri="{FF2B5EF4-FFF2-40B4-BE49-F238E27FC236}">
              <a16:creationId xmlns:a16="http://schemas.microsoft.com/office/drawing/2014/main" id="{C2678CA2-DF7A-4F74-9EC7-9B9C21E9A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0BAE-D7A1-4B9B-8511-69070389923C}">
  <sheetPr codeName="Hoja2"/>
  <dimension ref="B1:F21"/>
  <sheetViews>
    <sheetView showGridLines="0" zoomScale="130" zoomScaleNormal="130" workbookViewId="0">
      <selection activeCell="E5" sqref="E5"/>
    </sheetView>
  </sheetViews>
  <sheetFormatPr defaultColWidth="11.3984375" defaultRowHeight="15.4" x14ac:dyDescent="0.45"/>
  <cols>
    <col min="1" max="1" width="2.6640625" style="5" customWidth="1"/>
    <col min="2" max="2" width="19.53125" style="5" customWidth="1"/>
    <col min="3" max="4" width="12.1328125" style="5" customWidth="1"/>
    <col min="5" max="5" width="13.06640625" style="5" customWidth="1"/>
    <col min="6" max="6" width="12.1328125" style="5" customWidth="1"/>
    <col min="7" max="7" width="2.6640625" style="5" customWidth="1"/>
    <col min="8" max="16384" width="11.3984375" style="5"/>
  </cols>
  <sheetData>
    <row r="1" spans="2:6" x14ac:dyDescent="0.45">
      <c r="F1" s="39" t="s">
        <v>20</v>
      </c>
    </row>
    <row r="2" spans="2:6" ht="14.25" customHeight="1" x14ac:dyDescent="0.45">
      <c r="B2" s="25" t="s">
        <v>19</v>
      </c>
      <c r="C2" s="25"/>
      <c r="D2" s="25"/>
      <c r="E2" s="25"/>
      <c r="F2" s="25"/>
    </row>
    <row r="3" spans="2:6" ht="16.5" customHeight="1" x14ac:dyDescent="0.45">
      <c r="B3" s="26"/>
      <c r="C3" s="26"/>
      <c r="D3" s="26"/>
      <c r="E3" s="26"/>
      <c r="F3" s="26"/>
    </row>
    <row r="4" spans="2:6" ht="33" x14ac:dyDescent="0.45">
      <c r="B4" s="18" t="s">
        <v>2</v>
      </c>
      <c r="C4" s="19" t="s">
        <v>9</v>
      </c>
      <c r="D4" s="24" t="s">
        <v>11</v>
      </c>
      <c r="E4" s="24" t="s">
        <v>12</v>
      </c>
      <c r="F4" s="20" t="s">
        <v>10</v>
      </c>
    </row>
    <row r="5" spans="2:6" x14ac:dyDescent="0.45">
      <c r="B5" s="4" t="s">
        <v>13</v>
      </c>
      <c r="C5" s="40">
        <v>5</v>
      </c>
      <c r="D5" s="21">
        <f>Detalle!C10*C5/5</f>
        <v>0</v>
      </c>
      <c r="E5" s="40"/>
      <c r="F5" s="22">
        <f>AVERAGE(D5:E5)</f>
        <v>0</v>
      </c>
    </row>
    <row r="6" spans="2:6" x14ac:dyDescent="0.45">
      <c r="B6" s="4" t="s">
        <v>14</v>
      </c>
      <c r="C6" s="40">
        <v>5</v>
      </c>
      <c r="D6" s="21">
        <f>Detalle!F10*C6/5</f>
        <v>0</v>
      </c>
      <c r="E6" s="40"/>
      <c r="F6" s="22">
        <f t="shared" ref="F6:F18" si="0">AVERAGE(D6:E6)</f>
        <v>0</v>
      </c>
    </row>
    <row r="7" spans="2:6" x14ac:dyDescent="0.45">
      <c r="B7" s="4" t="s">
        <v>16</v>
      </c>
      <c r="C7" s="40">
        <v>5</v>
      </c>
      <c r="D7" s="21">
        <f>Detalle!I10*C7/5</f>
        <v>0</v>
      </c>
      <c r="E7" s="40"/>
      <c r="F7" s="22">
        <f t="shared" si="0"/>
        <v>0</v>
      </c>
    </row>
    <row r="8" spans="2:6" x14ac:dyDescent="0.45">
      <c r="B8" s="4" t="s">
        <v>15</v>
      </c>
      <c r="C8" s="40">
        <v>5</v>
      </c>
      <c r="D8" s="21">
        <f>Detalle!L10*C8/5</f>
        <v>0</v>
      </c>
      <c r="E8" s="40"/>
      <c r="F8" s="22">
        <f t="shared" si="0"/>
        <v>0</v>
      </c>
    </row>
    <row r="9" spans="2:6" x14ac:dyDescent="0.45">
      <c r="B9" s="4" t="s">
        <v>17</v>
      </c>
      <c r="C9" s="40">
        <v>5</v>
      </c>
      <c r="D9" s="21">
        <f>Detalle!O10*C9/5</f>
        <v>0</v>
      </c>
      <c r="E9" s="40"/>
      <c r="F9" s="22">
        <f t="shared" si="0"/>
        <v>0</v>
      </c>
    </row>
    <row r="10" spans="2:6" x14ac:dyDescent="0.45">
      <c r="B10" s="4" t="s">
        <v>21</v>
      </c>
      <c r="C10" s="40">
        <v>5</v>
      </c>
      <c r="D10" s="21">
        <f>Detalle!R10*C10/5</f>
        <v>0</v>
      </c>
      <c r="E10" s="40"/>
      <c r="F10" s="22">
        <f t="shared" si="0"/>
        <v>0</v>
      </c>
    </row>
    <row r="11" spans="2:6" x14ac:dyDescent="0.45">
      <c r="B11" s="4" t="s">
        <v>22</v>
      </c>
      <c r="C11" s="40">
        <v>5</v>
      </c>
      <c r="D11" s="21">
        <f>Detalle!U10*C11/5</f>
        <v>0</v>
      </c>
      <c r="E11" s="40"/>
      <c r="F11" s="22">
        <f t="shared" si="0"/>
        <v>0</v>
      </c>
    </row>
    <row r="12" spans="2:6" x14ac:dyDescent="0.45">
      <c r="B12" s="4" t="s">
        <v>23</v>
      </c>
      <c r="C12" s="40">
        <v>5</v>
      </c>
      <c r="D12" s="21">
        <f>Detalle!X10*C12/5</f>
        <v>0</v>
      </c>
      <c r="E12" s="40"/>
      <c r="F12" s="22">
        <f t="shared" si="0"/>
        <v>0</v>
      </c>
    </row>
    <row r="13" spans="2:6" x14ac:dyDescent="0.45">
      <c r="B13" s="4" t="s">
        <v>24</v>
      </c>
      <c r="C13" s="40">
        <v>5</v>
      </c>
      <c r="D13" s="21">
        <f>Detalle!AA10*C13/5</f>
        <v>0</v>
      </c>
      <c r="E13" s="40"/>
      <c r="F13" s="22">
        <f t="shared" si="0"/>
        <v>0</v>
      </c>
    </row>
    <row r="14" spans="2:6" x14ac:dyDescent="0.45">
      <c r="B14" s="4" t="s">
        <v>25</v>
      </c>
      <c r="C14" s="40">
        <v>5</v>
      </c>
      <c r="D14" s="21">
        <f>Detalle!AD10*C14/5</f>
        <v>0</v>
      </c>
      <c r="E14" s="40"/>
      <c r="F14" s="22">
        <f t="shared" si="0"/>
        <v>0</v>
      </c>
    </row>
    <row r="15" spans="2:6" x14ac:dyDescent="0.45">
      <c r="B15" s="4" t="s">
        <v>26</v>
      </c>
      <c r="C15" s="40">
        <v>5</v>
      </c>
      <c r="D15" s="21">
        <f>Detalle!AG10*C15/5</f>
        <v>0</v>
      </c>
      <c r="E15" s="40"/>
      <c r="F15" s="22">
        <f t="shared" si="0"/>
        <v>0</v>
      </c>
    </row>
    <row r="16" spans="2:6" x14ac:dyDescent="0.45">
      <c r="B16" s="4" t="s">
        <v>27</v>
      </c>
      <c r="C16" s="40">
        <v>5</v>
      </c>
      <c r="D16" s="21">
        <f>Detalle!AJ10*C16/5</f>
        <v>0</v>
      </c>
      <c r="E16" s="40"/>
      <c r="F16" s="22">
        <f t="shared" si="0"/>
        <v>0</v>
      </c>
    </row>
    <row r="17" spans="2:6" x14ac:dyDescent="0.45">
      <c r="B17" s="4" t="s">
        <v>28</v>
      </c>
      <c r="C17" s="40">
        <v>5</v>
      </c>
      <c r="D17" s="21">
        <f>Detalle!AM10*C17/5</f>
        <v>0</v>
      </c>
      <c r="E17" s="40"/>
      <c r="F17" s="22">
        <f t="shared" si="0"/>
        <v>0</v>
      </c>
    </row>
    <row r="18" spans="2:6" x14ac:dyDescent="0.45">
      <c r="B18" s="35" t="s">
        <v>29</v>
      </c>
      <c r="C18" s="41">
        <v>5</v>
      </c>
      <c r="D18" s="36">
        <f>Detalle!AP10*C18/5</f>
        <v>0</v>
      </c>
      <c r="E18" s="41"/>
      <c r="F18" s="37">
        <f t="shared" si="0"/>
        <v>0</v>
      </c>
    </row>
    <row r="19" spans="2:6" ht="14.25" customHeight="1" x14ac:dyDescent="0.45">
      <c r="B19" s="38" t="str">
        <f>HYPERLINK(_xlfn.CONCAT("https://github.com/rcfdtools/R.HCMC/blob/main/activity/",F1,"/Readme.md"),_xlfn.CONCAT("Ir a actividad ",F1," en GitHub."))</f>
        <v>Ir a actividad M03A04 en GitHub.</v>
      </c>
      <c r="C19" s="38"/>
      <c r="D19" s="38"/>
      <c r="E19" s="38"/>
      <c r="F19" s="38"/>
    </row>
    <row r="20" spans="2:6" x14ac:dyDescent="0.45">
      <c r="B20" s="38"/>
      <c r="C20" s="38"/>
      <c r="D20" s="38"/>
      <c r="E20" s="38"/>
      <c r="F20" s="38"/>
    </row>
    <row r="21" spans="2:6" x14ac:dyDescent="0.45">
      <c r="B21" s="23"/>
      <c r="C21" s="23"/>
      <c r="D21" s="23"/>
      <c r="E21" s="17"/>
      <c r="F21" s="17"/>
    </row>
  </sheetData>
  <mergeCells count="3">
    <mergeCell ref="B2:F3"/>
    <mergeCell ref="B19:F19"/>
    <mergeCell ref="B20:F20"/>
  </mergeCells>
  <phoneticPr fontId="1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87CE-896A-4E26-83D1-1610B3259376}">
  <sheetPr codeName="Hoja1"/>
  <dimension ref="A1:AR46"/>
  <sheetViews>
    <sheetView showGridLines="0" tabSelected="1" zoomScale="115" zoomScaleNormal="115" workbookViewId="0">
      <pane xSplit="2" ySplit="3" topLeftCell="C4" activePane="bottomRight" state="frozen"/>
      <selection pane="topRight" activeCell="C1" sqref="C1"/>
      <selection pane="bottomLeft" activeCell="A4" sqref="A4"/>
      <selection pane="bottomRight" activeCell="C4" sqref="C4"/>
    </sheetView>
  </sheetViews>
  <sheetFormatPr defaultColWidth="11.3984375" defaultRowHeight="15.4" x14ac:dyDescent="0.45"/>
  <cols>
    <col min="1" max="1" width="2.6640625" style="10" customWidth="1"/>
    <col min="2" max="2" width="60.6640625" style="9" customWidth="1"/>
    <col min="3" max="4" width="10.6640625" style="8" customWidth="1"/>
    <col min="5" max="5" width="50.6640625" style="8" customWidth="1"/>
    <col min="6" max="7" width="10.6640625" style="8" customWidth="1"/>
    <col min="8" max="8" width="50.6640625" style="8" customWidth="1"/>
    <col min="9" max="10" width="10.6640625" style="8" customWidth="1"/>
    <col min="11" max="11" width="50.6640625" style="8" customWidth="1"/>
    <col min="12" max="13" width="10.6640625" style="8" customWidth="1"/>
    <col min="14" max="14" width="50.6640625" style="8" customWidth="1"/>
    <col min="15" max="16" width="10.6640625" style="8" customWidth="1"/>
    <col min="17" max="17" width="50.6640625" style="8" customWidth="1"/>
    <col min="18" max="19" width="10.6640625" style="8" customWidth="1"/>
    <col min="20" max="20" width="50.6640625" style="8" customWidth="1"/>
    <col min="21" max="22" width="10.6640625" style="8" customWidth="1"/>
    <col min="23" max="23" width="50.6640625" style="8" customWidth="1"/>
    <col min="24" max="25" width="10.6640625" style="8" customWidth="1"/>
    <col min="26" max="26" width="50.6640625" style="8" customWidth="1"/>
    <col min="27" max="28" width="10.6640625" style="8" customWidth="1"/>
    <col min="29" max="29" width="50.6640625" style="8" customWidth="1"/>
    <col min="30" max="31" width="10.6640625" style="8" customWidth="1"/>
    <col min="32" max="32" width="50.6640625" style="8" customWidth="1"/>
    <col min="33" max="34" width="10.6640625" style="8" customWidth="1"/>
    <col min="35" max="35" width="50.6640625" style="8" customWidth="1"/>
    <col min="36" max="37" width="10.6640625" style="8" customWidth="1"/>
    <col min="38" max="38" width="50.6640625" style="8" customWidth="1"/>
    <col min="39" max="40" width="10.6640625" style="8" customWidth="1"/>
    <col min="41" max="41" width="50.6640625" style="8" customWidth="1"/>
    <col min="42" max="43" width="10.6640625" style="8" customWidth="1"/>
    <col min="44" max="44" width="50.6640625" style="8" customWidth="1"/>
    <col min="45" max="45" width="11.3984375" style="9" customWidth="1"/>
    <col min="46" max="16384" width="11.3984375" style="9"/>
  </cols>
  <sheetData>
    <row r="1" spans="1:44" x14ac:dyDescent="0.45">
      <c r="A1" s="6"/>
      <c r="B1" s="7" t="str">
        <f>Calificacion!B2</f>
        <v>Calificación: 3.4. Modelación unidimensional en condiciones de flujo permanente y no permanente</v>
      </c>
      <c r="C1" s="7"/>
      <c r="D1" s="7"/>
      <c r="F1" s="7"/>
      <c r="G1" s="7"/>
      <c r="I1" s="7"/>
      <c r="J1" s="7"/>
      <c r="L1" s="7"/>
      <c r="M1" s="7"/>
      <c r="O1" s="7"/>
      <c r="P1" s="7"/>
      <c r="R1" s="7"/>
      <c r="S1" s="7"/>
      <c r="U1" s="7"/>
      <c r="V1" s="7"/>
      <c r="X1" s="7"/>
      <c r="Y1" s="7"/>
      <c r="AA1" s="7"/>
      <c r="AB1" s="7"/>
      <c r="AD1" s="7"/>
      <c r="AE1" s="7"/>
      <c r="AG1" s="7"/>
      <c r="AH1" s="7"/>
      <c r="AJ1" s="7"/>
      <c r="AK1" s="7"/>
      <c r="AM1" s="7"/>
      <c r="AN1" s="7"/>
      <c r="AP1" s="7"/>
      <c r="AQ1" s="7"/>
    </row>
    <row r="2" spans="1:44" s="11" customFormat="1" x14ac:dyDescent="0.45">
      <c r="A2" s="10"/>
      <c r="B2" s="33" t="s">
        <v>3</v>
      </c>
      <c r="C2" s="27" t="str">
        <f>Calificacion!$B5</f>
        <v>Grupo 1</v>
      </c>
      <c r="D2" s="28"/>
      <c r="E2" s="29"/>
      <c r="F2" s="27" t="str">
        <f>Calificacion!$B6</f>
        <v>Grupo 2</v>
      </c>
      <c r="G2" s="28"/>
      <c r="H2" s="29"/>
      <c r="I2" s="27" t="str">
        <f>Calificacion!$B7</f>
        <v>Grupo 3</v>
      </c>
      <c r="J2" s="28"/>
      <c r="K2" s="29"/>
      <c r="L2" s="27" t="str">
        <f>Calificacion!$B8</f>
        <v>Grupo 4</v>
      </c>
      <c r="M2" s="28"/>
      <c r="N2" s="29"/>
      <c r="O2" s="27" t="str">
        <f>Calificacion!$B9</f>
        <v>Grupo 5</v>
      </c>
      <c r="P2" s="28"/>
      <c r="Q2" s="29"/>
      <c r="R2" s="27" t="str">
        <f>Calificacion!$B10</f>
        <v>Grupo 6</v>
      </c>
      <c r="S2" s="28"/>
      <c r="T2" s="29"/>
      <c r="U2" s="27" t="str">
        <f>Calificacion!$B11</f>
        <v>Grupo 7</v>
      </c>
      <c r="V2" s="28"/>
      <c r="W2" s="29"/>
      <c r="X2" s="27" t="str">
        <f>Calificacion!$B12</f>
        <v>Grupo 8</v>
      </c>
      <c r="Y2" s="28"/>
      <c r="Z2" s="29"/>
      <c r="AA2" s="27" t="str">
        <f>Calificacion!$B13</f>
        <v>Grupo 9</v>
      </c>
      <c r="AB2" s="28"/>
      <c r="AC2" s="29"/>
      <c r="AD2" s="27" t="str">
        <f>Calificacion!$B14</f>
        <v>Grupo 10</v>
      </c>
      <c r="AE2" s="28"/>
      <c r="AF2" s="29"/>
      <c r="AG2" s="27" t="str">
        <f>Calificacion!$B15</f>
        <v>Grupo 11</v>
      </c>
      <c r="AH2" s="28"/>
      <c r="AI2" s="29"/>
      <c r="AJ2" s="27" t="str">
        <f>Calificacion!$B16</f>
        <v>Grupo 12</v>
      </c>
      <c r="AK2" s="28"/>
      <c r="AL2" s="29"/>
      <c r="AM2" s="27" t="str">
        <f>Calificacion!$B17</f>
        <v>Grupo 13</v>
      </c>
      <c r="AN2" s="28"/>
      <c r="AO2" s="29"/>
      <c r="AP2" s="27" t="str">
        <f>Calificacion!$B18</f>
        <v>Grupo 14</v>
      </c>
      <c r="AQ2" s="28"/>
      <c r="AR2" s="29"/>
    </row>
    <row r="3" spans="1:44" x14ac:dyDescent="0.45">
      <c r="B3" s="34"/>
      <c r="C3" s="15" t="s">
        <v>1</v>
      </c>
      <c r="D3" s="12" t="s">
        <v>4</v>
      </c>
      <c r="E3" s="16" t="s">
        <v>0</v>
      </c>
      <c r="F3" s="15" t="s">
        <v>1</v>
      </c>
      <c r="G3" s="12" t="s">
        <v>4</v>
      </c>
      <c r="H3" s="16" t="s">
        <v>0</v>
      </c>
      <c r="I3" s="15" t="s">
        <v>1</v>
      </c>
      <c r="J3" s="12" t="s">
        <v>4</v>
      </c>
      <c r="K3" s="16" t="s">
        <v>0</v>
      </c>
      <c r="L3" s="15" t="s">
        <v>1</v>
      </c>
      <c r="M3" s="12" t="s">
        <v>4</v>
      </c>
      <c r="N3" s="16" t="s">
        <v>0</v>
      </c>
      <c r="O3" s="15" t="s">
        <v>1</v>
      </c>
      <c r="P3" s="12" t="s">
        <v>4</v>
      </c>
      <c r="Q3" s="16" t="s">
        <v>0</v>
      </c>
      <c r="R3" s="15" t="s">
        <v>1</v>
      </c>
      <c r="S3" s="12" t="s">
        <v>4</v>
      </c>
      <c r="T3" s="16" t="s">
        <v>0</v>
      </c>
      <c r="U3" s="15" t="s">
        <v>1</v>
      </c>
      <c r="V3" s="12" t="s">
        <v>4</v>
      </c>
      <c r="W3" s="16" t="s">
        <v>0</v>
      </c>
      <c r="X3" s="15" t="s">
        <v>1</v>
      </c>
      <c r="Y3" s="12" t="s">
        <v>4</v>
      </c>
      <c r="Z3" s="16" t="s">
        <v>0</v>
      </c>
      <c r="AA3" s="15" t="s">
        <v>1</v>
      </c>
      <c r="AB3" s="12" t="s">
        <v>4</v>
      </c>
      <c r="AC3" s="16" t="s">
        <v>0</v>
      </c>
      <c r="AD3" s="15" t="s">
        <v>1</v>
      </c>
      <c r="AE3" s="12" t="s">
        <v>4</v>
      </c>
      <c r="AF3" s="16" t="s">
        <v>0</v>
      </c>
      <c r="AG3" s="15" t="s">
        <v>1</v>
      </c>
      <c r="AH3" s="12" t="s">
        <v>4</v>
      </c>
      <c r="AI3" s="16" t="s">
        <v>0</v>
      </c>
      <c r="AJ3" s="15" t="s">
        <v>1</v>
      </c>
      <c r="AK3" s="12" t="s">
        <v>4</v>
      </c>
      <c r="AL3" s="16" t="s">
        <v>0</v>
      </c>
      <c r="AM3" s="15" t="s">
        <v>1</v>
      </c>
      <c r="AN3" s="12" t="s">
        <v>4</v>
      </c>
      <c r="AO3" s="16" t="s">
        <v>0</v>
      </c>
      <c r="AP3" s="15" t="s">
        <v>1</v>
      </c>
      <c r="AQ3" s="12" t="s">
        <v>4</v>
      </c>
      <c r="AR3" s="16" t="s">
        <v>0</v>
      </c>
    </row>
    <row r="4" spans="1:44" ht="111.95" customHeight="1" x14ac:dyDescent="0.45">
      <c r="B4" s="13" t="s">
        <v>8</v>
      </c>
      <c r="C4" s="42">
        <v>0</v>
      </c>
      <c r="D4" s="43"/>
      <c r="E4" s="44"/>
      <c r="F4" s="42">
        <v>0</v>
      </c>
      <c r="G4" s="43"/>
      <c r="H4" s="44"/>
      <c r="I4" s="42">
        <v>0</v>
      </c>
      <c r="J4" s="43"/>
      <c r="K4" s="44"/>
      <c r="L4" s="42">
        <v>0</v>
      </c>
      <c r="M4" s="43"/>
      <c r="N4" s="44"/>
      <c r="O4" s="42">
        <v>0</v>
      </c>
      <c r="P4" s="43"/>
      <c r="Q4" s="44"/>
      <c r="R4" s="42">
        <v>0</v>
      </c>
      <c r="S4" s="43"/>
      <c r="T4" s="44"/>
      <c r="U4" s="42">
        <v>0</v>
      </c>
      <c r="V4" s="43"/>
      <c r="W4" s="44"/>
      <c r="X4" s="42">
        <v>0</v>
      </c>
      <c r="Y4" s="43"/>
      <c r="Z4" s="44"/>
      <c r="AA4" s="42">
        <v>0</v>
      </c>
      <c r="AB4" s="43"/>
      <c r="AC4" s="44"/>
      <c r="AD4" s="42">
        <v>0</v>
      </c>
      <c r="AE4" s="43"/>
      <c r="AF4" s="44"/>
      <c r="AG4" s="42">
        <v>0</v>
      </c>
      <c r="AH4" s="43"/>
      <c r="AI4" s="44"/>
      <c r="AJ4" s="42">
        <v>0</v>
      </c>
      <c r="AK4" s="43"/>
      <c r="AL4" s="44"/>
      <c r="AM4" s="42">
        <v>0</v>
      </c>
      <c r="AN4" s="43"/>
      <c r="AO4" s="44"/>
      <c r="AP4" s="42">
        <v>0</v>
      </c>
      <c r="AQ4" s="43"/>
      <c r="AR4" s="44"/>
    </row>
    <row r="5" spans="1:44" ht="184.5" x14ac:dyDescent="0.45">
      <c r="B5" s="13" t="s">
        <v>7</v>
      </c>
      <c r="C5" s="42"/>
      <c r="D5" s="43"/>
      <c r="E5" s="44"/>
      <c r="F5" s="42"/>
      <c r="G5" s="43"/>
      <c r="H5" s="44"/>
      <c r="I5" s="42"/>
      <c r="J5" s="43"/>
      <c r="K5" s="44"/>
      <c r="L5" s="42"/>
      <c r="M5" s="43"/>
      <c r="N5" s="44"/>
      <c r="O5" s="42"/>
      <c r="P5" s="43"/>
      <c r="Q5" s="44"/>
      <c r="R5" s="42"/>
      <c r="S5" s="43"/>
      <c r="T5" s="44"/>
      <c r="U5" s="42"/>
      <c r="V5" s="43"/>
      <c r="W5" s="44"/>
      <c r="X5" s="42"/>
      <c r="Y5" s="43"/>
      <c r="Z5" s="44"/>
      <c r="AA5" s="42"/>
      <c r="AB5" s="43"/>
      <c r="AC5" s="44"/>
      <c r="AD5" s="42"/>
      <c r="AE5" s="43"/>
      <c r="AF5" s="44"/>
      <c r="AG5" s="42"/>
      <c r="AH5" s="43"/>
      <c r="AI5" s="44"/>
      <c r="AJ5" s="42"/>
      <c r="AK5" s="43"/>
      <c r="AL5" s="44"/>
      <c r="AM5" s="42"/>
      <c r="AN5" s="43"/>
      <c r="AO5" s="44"/>
      <c r="AP5" s="42"/>
      <c r="AQ5" s="43"/>
      <c r="AR5" s="44"/>
    </row>
    <row r="6" spans="1:44" ht="80.650000000000006" customHeight="1" x14ac:dyDescent="0.45">
      <c r="B6" s="13" t="s">
        <v>18</v>
      </c>
      <c r="C6" s="42"/>
      <c r="D6" s="43"/>
      <c r="E6" s="44"/>
      <c r="F6" s="42"/>
      <c r="G6" s="43"/>
      <c r="H6" s="44"/>
      <c r="I6" s="42"/>
      <c r="J6" s="43"/>
      <c r="K6" s="44"/>
      <c r="L6" s="42"/>
      <c r="M6" s="43"/>
      <c r="N6" s="44"/>
      <c r="O6" s="42"/>
      <c r="P6" s="43"/>
      <c r="Q6" s="44"/>
      <c r="R6" s="42"/>
      <c r="S6" s="43"/>
      <c r="T6" s="44"/>
      <c r="U6" s="42"/>
      <c r="V6" s="43"/>
      <c r="W6" s="44"/>
      <c r="X6" s="42"/>
      <c r="Y6" s="43"/>
      <c r="Z6" s="44"/>
      <c r="AA6" s="42"/>
      <c r="AB6" s="43"/>
      <c r="AC6" s="44"/>
      <c r="AD6" s="42"/>
      <c r="AE6" s="43"/>
      <c r="AF6" s="44"/>
      <c r="AG6" s="42"/>
      <c r="AH6" s="43"/>
      <c r="AI6" s="44"/>
      <c r="AJ6" s="42"/>
      <c r="AK6" s="43"/>
      <c r="AL6" s="44"/>
      <c r="AM6" s="42"/>
      <c r="AN6" s="43"/>
      <c r="AO6" s="44"/>
      <c r="AP6" s="42"/>
      <c r="AQ6" s="43"/>
      <c r="AR6" s="44"/>
    </row>
    <row r="7" spans="1:44" ht="30.75" x14ac:dyDescent="0.45">
      <c r="B7" s="13" t="s">
        <v>5</v>
      </c>
      <c r="C7" s="42"/>
      <c r="D7" s="43"/>
      <c r="E7" s="44"/>
      <c r="F7" s="42"/>
      <c r="G7" s="43"/>
      <c r="H7" s="44"/>
      <c r="I7" s="42"/>
      <c r="J7" s="43"/>
      <c r="K7" s="44"/>
      <c r="L7" s="42"/>
      <c r="M7" s="43"/>
      <c r="N7" s="44"/>
      <c r="O7" s="42"/>
      <c r="P7" s="43"/>
      <c r="Q7" s="44"/>
      <c r="R7" s="42"/>
      <c r="S7" s="43"/>
      <c r="T7" s="44"/>
      <c r="U7" s="42"/>
      <c r="V7" s="43"/>
      <c r="W7" s="44"/>
      <c r="X7" s="42"/>
      <c r="Y7" s="43"/>
      <c r="Z7" s="44"/>
      <c r="AA7" s="42"/>
      <c r="AB7" s="43"/>
      <c r="AC7" s="44"/>
      <c r="AD7" s="42"/>
      <c r="AE7" s="43"/>
      <c r="AF7" s="44"/>
      <c r="AG7" s="42"/>
      <c r="AH7" s="43"/>
      <c r="AI7" s="44"/>
      <c r="AJ7" s="42"/>
      <c r="AK7" s="43"/>
      <c r="AL7" s="44"/>
      <c r="AM7" s="42"/>
      <c r="AN7" s="43"/>
      <c r="AO7" s="44"/>
      <c r="AP7" s="42"/>
      <c r="AQ7" s="43"/>
      <c r="AR7" s="44"/>
    </row>
    <row r="8" spans="1:44" ht="92.25" x14ac:dyDescent="0.45">
      <c r="B8" s="13" t="s">
        <v>6</v>
      </c>
      <c r="C8" s="42"/>
      <c r="D8" s="43"/>
      <c r="E8" s="44"/>
      <c r="F8" s="42"/>
      <c r="G8" s="43"/>
      <c r="H8" s="44"/>
      <c r="I8" s="42"/>
      <c r="J8" s="43"/>
      <c r="K8" s="44"/>
      <c r="L8" s="42"/>
      <c r="M8" s="43"/>
      <c r="N8" s="44"/>
      <c r="O8" s="42"/>
      <c r="P8" s="43"/>
      <c r="Q8" s="44"/>
      <c r="R8" s="42"/>
      <c r="S8" s="43"/>
      <c r="T8" s="44"/>
      <c r="U8" s="42"/>
      <c r="V8" s="43"/>
      <c r="W8" s="44"/>
      <c r="X8" s="42"/>
      <c r="Y8" s="43"/>
      <c r="Z8" s="44"/>
      <c r="AA8" s="42"/>
      <c r="AB8" s="43"/>
      <c r="AC8" s="44"/>
      <c r="AD8" s="42"/>
      <c r="AE8" s="43"/>
      <c r="AF8" s="44"/>
      <c r="AG8" s="42"/>
      <c r="AH8" s="43"/>
      <c r="AI8" s="44"/>
      <c r="AJ8" s="42"/>
      <c r="AK8" s="43"/>
      <c r="AL8" s="44"/>
      <c r="AM8" s="42"/>
      <c r="AN8" s="43"/>
      <c r="AO8" s="44"/>
      <c r="AP8" s="42"/>
      <c r="AQ8" s="43"/>
      <c r="AR8" s="44"/>
    </row>
    <row r="9" spans="1:44" x14ac:dyDescent="0.45">
      <c r="B9" s="13"/>
      <c r="C9" s="42"/>
      <c r="D9" s="43"/>
      <c r="E9" s="44"/>
      <c r="F9" s="42"/>
      <c r="G9" s="43"/>
      <c r="H9" s="44"/>
      <c r="I9" s="42"/>
      <c r="J9" s="43"/>
      <c r="K9" s="44"/>
      <c r="L9" s="42"/>
      <c r="M9" s="43"/>
      <c r="N9" s="44"/>
      <c r="O9" s="42"/>
      <c r="P9" s="43"/>
      <c r="Q9" s="44"/>
      <c r="R9" s="42"/>
      <c r="S9" s="43"/>
      <c r="T9" s="44"/>
      <c r="U9" s="42"/>
      <c r="V9" s="43"/>
      <c r="W9" s="44"/>
      <c r="X9" s="42"/>
      <c r="Y9" s="43"/>
      <c r="Z9" s="44"/>
      <c r="AA9" s="42"/>
      <c r="AB9" s="43"/>
      <c r="AC9" s="44"/>
      <c r="AD9" s="42"/>
      <c r="AE9" s="43"/>
      <c r="AF9" s="44"/>
      <c r="AG9" s="42"/>
      <c r="AH9" s="43"/>
      <c r="AI9" s="44"/>
      <c r="AJ9" s="42"/>
      <c r="AK9" s="43"/>
      <c r="AL9" s="44"/>
      <c r="AM9" s="42"/>
      <c r="AN9" s="43"/>
      <c r="AO9" s="44"/>
      <c r="AP9" s="42"/>
      <c r="AQ9" s="43"/>
      <c r="AR9" s="44"/>
    </row>
    <row r="10" spans="1:44" s="2" customFormat="1" x14ac:dyDescent="0.45">
      <c r="A10" s="1"/>
      <c r="B10" s="14" t="s">
        <v>1</v>
      </c>
      <c r="C10" s="30">
        <f>AVERAGE(C4:C9)</f>
        <v>0</v>
      </c>
      <c r="D10" s="31"/>
      <c r="E10" s="32"/>
      <c r="F10" s="30">
        <f>AVERAGE(F4:F9)</f>
        <v>0</v>
      </c>
      <c r="G10" s="31"/>
      <c r="H10" s="32"/>
      <c r="I10" s="30">
        <f>AVERAGE(I4:I9)</f>
        <v>0</v>
      </c>
      <c r="J10" s="31"/>
      <c r="K10" s="32"/>
      <c r="L10" s="30">
        <f>AVERAGE(L4:L9)</f>
        <v>0</v>
      </c>
      <c r="M10" s="31"/>
      <c r="N10" s="32"/>
      <c r="O10" s="30">
        <f>AVERAGE(O4:O9)</f>
        <v>0</v>
      </c>
      <c r="P10" s="31"/>
      <c r="Q10" s="32"/>
      <c r="R10" s="30">
        <f>AVERAGE(R4:R9)</f>
        <v>0</v>
      </c>
      <c r="S10" s="31"/>
      <c r="T10" s="32"/>
      <c r="U10" s="30">
        <f>AVERAGE(U4:U9)</f>
        <v>0</v>
      </c>
      <c r="V10" s="31"/>
      <c r="W10" s="32"/>
      <c r="X10" s="30">
        <f>AVERAGE(X4:X9)</f>
        <v>0</v>
      </c>
      <c r="Y10" s="31"/>
      <c r="Z10" s="32"/>
      <c r="AA10" s="30">
        <f>AVERAGE(AA4:AA9)</f>
        <v>0</v>
      </c>
      <c r="AB10" s="31"/>
      <c r="AC10" s="32"/>
      <c r="AD10" s="30">
        <f>AVERAGE(AD4:AD9)</f>
        <v>0</v>
      </c>
      <c r="AE10" s="31"/>
      <c r="AF10" s="32"/>
      <c r="AG10" s="30">
        <f>AVERAGE(AG4:AG9)</f>
        <v>0</v>
      </c>
      <c r="AH10" s="31"/>
      <c r="AI10" s="32"/>
      <c r="AJ10" s="30">
        <f>AVERAGE(AJ4:AJ9)</f>
        <v>0</v>
      </c>
      <c r="AK10" s="31"/>
      <c r="AL10" s="32"/>
      <c r="AM10" s="30">
        <f>AVERAGE(AM4:AM9)</f>
        <v>0</v>
      </c>
      <c r="AN10" s="31"/>
      <c r="AO10" s="32"/>
      <c r="AP10" s="30">
        <f>AVERAGE(AP4:AP9)</f>
        <v>0</v>
      </c>
      <c r="AQ10" s="31"/>
      <c r="AR10" s="32"/>
    </row>
    <row r="11" spans="1:44" s="10" customFormat="1" x14ac:dyDescent="0.45">
      <c r="B11" s="3"/>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row>
    <row r="12" spans="1:44" s="10" customFormat="1" x14ac:dyDescent="0.45">
      <c r="B12" s="9"/>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row>
    <row r="13" spans="1:44" s="10" customFormat="1" x14ac:dyDescent="0.45">
      <c r="B13" s="9"/>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row>
    <row r="14" spans="1:44" s="10" customFormat="1" x14ac:dyDescent="0.45">
      <c r="B14" s="9"/>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row>
    <row r="15" spans="1:44" s="10" customFormat="1" x14ac:dyDescent="0.45">
      <c r="B15" s="9"/>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row>
    <row r="16" spans="1:44" s="10" customFormat="1" x14ac:dyDescent="0.45">
      <c r="B16" s="9"/>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row>
    <row r="17" spans="2:44" s="10" customFormat="1" x14ac:dyDescent="0.45">
      <c r="B17" s="9"/>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row>
    <row r="18" spans="2:44" s="10" customFormat="1" x14ac:dyDescent="0.45">
      <c r="B18" s="9"/>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row>
    <row r="19" spans="2:44" s="10" customFormat="1" x14ac:dyDescent="0.45">
      <c r="B19" s="9"/>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row>
    <row r="20" spans="2:44" s="10" customFormat="1" x14ac:dyDescent="0.45">
      <c r="B20" s="9"/>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row>
    <row r="21" spans="2:44" s="10" customFormat="1" x14ac:dyDescent="0.45">
      <c r="B21" s="9"/>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row>
    <row r="22" spans="2:44" s="10" customFormat="1" x14ac:dyDescent="0.45">
      <c r="B22" s="9"/>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row>
    <row r="23" spans="2:44" s="10" customFormat="1" x14ac:dyDescent="0.45">
      <c r="B23" s="9"/>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row>
    <row r="24" spans="2:44" s="10" customFormat="1" x14ac:dyDescent="0.45">
      <c r="B24" s="9"/>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row>
    <row r="25" spans="2:44" s="10" customFormat="1" x14ac:dyDescent="0.45">
      <c r="B25" s="9"/>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row>
    <row r="26" spans="2:44" s="10" customFormat="1" x14ac:dyDescent="0.45">
      <c r="B26" s="9"/>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row>
    <row r="27" spans="2:44" s="10" customFormat="1" x14ac:dyDescent="0.45">
      <c r="B27" s="9"/>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row>
    <row r="28" spans="2:44" s="10" customFormat="1" x14ac:dyDescent="0.45">
      <c r="B28" s="9"/>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row>
    <row r="29" spans="2:44" s="10" customFormat="1" x14ac:dyDescent="0.45">
      <c r="B29" s="9"/>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row>
    <row r="30" spans="2:44" s="10" customFormat="1" x14ac:dyDescent="0.45">
      <c r="B30" s="9"/>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row>
    <row r="31" spans="2:44" s="10" customFormat="1" x14ac:dyDescent="0.45">
      <c r="B31" s="9"/>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row>
    <row r="32" spans="2:44" s="10" customFormat="1" x14ac:dyDescent="0.45">
      <c r="B32" s="9"/>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row>
    <row r="33" spans="2:44" s="10" customFormat="1" x14ac:dyDescent="0.45">
      <c r="B33" s="9"/>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row>
    <row r="34" spans="2:44" s="10" customFormat="1" x14ac:dyDescent="0.45">
      <c r="B34" s="9"/>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row>
    <row r="35" spans="2:44" s="10" customFormat="1" x14ac:dyDescent="0.45">
      <c r="B35" s="9"/>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row>
    <row r="36" spans="2:44" s="10" customFormat="1" x14ac:dyDescent="0.45">
      <c r="B36" s="9"/>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row>
    <row r="37" spans="2:44" s="10" customFormat="1" x14ac:dyDescent="0.45">
      <c r="B37" s="9"/>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row>
    <row r="38" spans="2:44" s="10" customFormat="1" x14ac:dyDescent="0.45">
      <c r="B38" s="9"/>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row>
    <row r="39" spans="2:44" s="10" customFormat="1" x14ac:dyDescent="0.45">
      <c r="B39" s="9"/>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row>
    <row r="40" spans="2:44" s="10" customFormat="1" x14ac:dyDescent="0.45">
      <c r="B40" s="9"/>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row>
    <row r="41" spans="2:44" s="10" customFormat="1" x14ac:dyDescent="0.45">
      <c r="B41" s="9"/>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row>
    <row r="42" spans="2:44" s="10" customFormat="1" x14ac:dyDescent="0.45">
      <c r="B42" s="9"/>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row>
    <row r="43" spans="2:44" s="10" customFormat="1" x14ac:dyDescent="0.45">
      <c r="B43" s="9"/>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row>
    <row r="44" spans="2:44" s="10" customFormat="1" x14ac:dyDescent="0.45">
      <c r="B44" s="9"/>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row>
    <row r="45" spans="2:44" s="10" customFormat="1" x14ac:dyDescent="0.45">
      <c r="B45" s="9"/>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row>
    <row r="46" spans="2:44" s="10" customFormat="1" x14ac:dyDescent="0.45">
      <c r="B46" s="9"/>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row>
  </sheetData>
  <mergeCells count="29">
    <mergeCell ref="B2:B3"/>
    <mergeCell ref="U10:W10"/>
    <mergeCell ref="AM10:AO10"/>
    <mergeCell ref="X10:Z10"/>
    <mergeCell ref="AA10:AC10"/>
    <mergeCell ref="AD10:AF10"/>
    <mergeCell ref="AG10:AI10"/>
    <mergeCell ref="AJ10:AL10"/>
    <mergeCell ref="I2:K2"/>
    <mergeCell ref="I10:K10"/>
    <mergeCell ref="L10:N10"/>
    <mergeCell ref="O10:Q10"/>
    <mergeCell ref="R10:T10"/>
    <mergeCell ref="AP2:AR2"/>
    <mergeCell ref="AP10:AR10"/>
    <mergeCell ref="C2:E2"/>
    <mergeCell ref="C10:E10"/>
    <mergeCell ref="F10:H10"/>
    <mergeCell ref="AJ2:AL2"/>
    <mergeCell ref="AM2:AO2"/>
    <mergeCell ref="AG2:AI2"/>
    <mergeCell ref="AD2:AF2"/>
    <mergeCell ref="AA2:AC2"/>
    <mergeCell ref="X2:Z2"/>
    <mergeCell ref="O2:Q2"/>
    <mergeCell ref="F2:H2"/>
    <mergeCell ref="U2:W2"/>
    <mergeCell ref="R2:T2"/>
    <mergeCell ref="L2:N2"/>
  </mergeCells>
  <printOptions horizontalCentered="1"/>
  <pageMargins left="0.23622047244094491" right="0.23622047244094491" top="0.74803149606299213" bottom="0.74803149606299213" header="0.31496062992125984" footer="0.31496062992125984"/>
  <pageSetup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Calificacion</vt:lpstr>
      <vt:lpstr>Detalle</vt:lpstr>
      <vt:lpstr>Detalle!Print_Area</vt:lpstr>
      <vt:lpstr>Detalle!Print_Titles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cp:lastPrinted>2024-08-11T16:27:19Z</cp:lastPrinted>
  <dcterms:created xsi:type="dcterms:W3CDTF">2018-11-28T14:19:17Z</dcterms:created>
  <dcterms:modified xsi:type="dcterms:W3CDTF">2025-08-05T14:33:09Z</dcterms:modified>
</cp:coreProperties>
</file>