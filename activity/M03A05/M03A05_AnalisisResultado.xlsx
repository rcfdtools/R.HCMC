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3A05\"/>
    </mc:Choice>
  </mc:AlternateContent>
  <xr:revisionPtr revIDLastSave="0" documentId="13_ncr:1_{3422653F-1CFA-4390-94B6-C9E7A14AF32B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  <sheet name="CumpleTolerancia" sheetId="13" r:id="rId3"/>
  </sheets>
  <definedNames>
    <definedName name="_xlnm.Print_Area" localSheetId="1">Detalle!$B$1:$H$21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BQ21" i="10"/>
  <c r="BL21" i="10"/>
  <c r="BG21" i="10"/>
  <c r="BB21" i="10"/>
  <c r="AW21" i="10"/>
  <c r="AR21" i="10"/>
  <c r="AM21" i="10"/>
  <c r="AH21" i="10"/>
  <c r="AC21" i="10"/>
  <c r="X21" i="10"/>
  <c r="S21" i="10"/>
  <c r="N21" i="10"/>
  <c r="I21" i="10"/>
  <c r="M1" i="10"/>
  <c r="W1" i="10" l="1"/>
  <c r="R1" i="10"/>
  <c r="H1" i="10"/>
  <c r="AG1" i="10"/>
  <c r="AL1" i="10" l="1"/>
  <c r="AM2" i="10" l="1"/>
  <c r="C5" i="13" l="1"/>
  <c r="D21" i="10" l="1"/>
  <c r="D5" i="12" s="1"/>
  <c r="F5" i="12" s="1"/>
  <c r="BQ2" i="10"/>
  <c r="BL2" i="10"/>
  <c r="BG2" i="10"/>
  <c r="BB2" i="10"/>
  <c r="AW2" i="10"/>
  <c r="AR2" i="10"/>
  <c r="AH2" i="10"/>
  <c r="AC2" i="10"/>
  <c r="X2" i="10"/>
  <c r="S2" i="10"/>
  <c r="N2" i="10"/>
  <c r="I2" i="10"/>
  <c r="D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</calcChain>
</file>

<file path=xl/sharedStrings.xml><?xml version="1.0" encoding="utf-8"?>
<sst xmlns="http://schemas.openxmlformats.org/spreadsheetml/2006/main" count="201" uniqueCount="47">
  <si>
    <t>Observaciones</t>
  </si>
  <si>
    <t>Calificación</t>
  </si>
  <si>
    <t>Código</t>
  </si>
  <si>
    <t>Requerimiento</t>
  </si>
  <si>
    <t>Perfiles de flujo: para cada periodo de retorno evaluado indicar si existen desbordamientos, remansos o cambios bruscos en el desarrollo del perfil y plantear soluciones para obtener un perfil continuo y estable.</t>
  </si>
  <si>
    <t>Borde libre: evaluar si el BL cumple con los criterios de diseño planteados para su proyecto, en caso de que sea menor indicar las posibles causas y plantear soluciones.</t>
  </si>
  <si>
    <t>Esfuerzo cortante: para los periodos de diseño de la sección dominante y de creciente, evaluar e indicar si los esfuerzos cortantes máximos cumplen o están por debajo o muy próximos a los valores admisibles definidos; en caso de que no se cumplan indicar las posibles causas y los cambios que se tendrían que hacer en el diseño geométrico e hidráulico para cumplir con los criterios establecidos.</t>
  </si>
  <si>
    <t>Elevación lámina de agua en secciones de diseño sinuoso para la sección dominante: evaluar la profundidad e indicar si se producen o no desbordamientos; recordar que la condición de diseño corresponde a tránsito o flujo hasta la corona.</t>
  </si>
  <si>
    <t>Velocidad de flujo: para los periodos de diseño de la sección dominante y de creciente, evaluar e indicar si las velocidades máximas y mínimas se cumplen de acuerdo a los límites establecidos para su proyecto; en caso de que no se cumplan indicar las posibles causas y los cambios que se tendrían que hacer en el diseño geométrico e hidráulico para cumplir con los criterios establecidos.</t>
  </si>
  <si>
    <t>Energía máxima: para cada periodo de retorno evaluado, presentar el perfil de cada río con la línea de energía obtenida y presentar un análisis descriptivo.</t>
  </si>
  <si>
    <t>Valor límite</t>
  </si>
  <si>
    <t>Valor obtenido</t>
  </si>
  <si>
    <t>Flujo permanente</t>
  </si>
  <si>
    <t>Tipo</t>
  </si>
  <si>
    <t>Profundidad crítica (opcional): evaluar la profundidad crítica e indicar el tipo de perfil hidráulico obtenido, indicar posiciones de Yc que se crucen con la profundidad de lámina o que esté por encima. Plantear soluciones para obtener profundidades críticas siempre por debajo de la profundidad normal y/o de lámina de agua en la zona prismática diseñada y modelada. Realizar el análisis en condiciones de flujo subcrítico y mixto.</t>
  </si>
  <si>
    <t>Profundidad crítica: evaluar la profundidad crítica e indicar el tipo de perfil hidráulico obtenido, indicar posiciones de Yc que se crucen con la profundidad de lámina o que esté por encima. Plantear soluciones para obtener profundidades críticas siempre por debajo de la profundidad normal y/o de lámina de agua en la zona prismática diseñada y modelada. Realizar el análisis en condiciones de flujo subcrítico y mixto.</t>
  </si>
  <si>
    <t>Límite definido</t>
  </si>
  <si>
    <t>Tolerancia admitida, %</t>
  </si>
  <si>
    <t>% cumplimiento</t>
  </si>
  <si>
    <t>Calificar sobre</t>
  </si>
  <si>
    <t>Calificación final</t>
  </si>
  <si>
    <t>Cumple con 15% tolerancia</t>
  </si>
  <si>
    <t>Calificación Instructor</t>
  </si>
  <si>
    <t>Autocalificación Alumno</t>
  </si>
  <si>
    <t>Flujo no permanente (opcional)</t>
  </si>
  <si>
    <t>Grupo 1</t>
  </si>
  <si>
    <t>Grupo 2</t>
  </si>
  <si>
    <t>Grupo 3</t>
  </si>
  <si>
    <t>Grupo 4</t>
  </si>
  <si>
    <t>Grupo 5</t>
  </si>
  <si>
    <t>Calificación: 3.5. Análisis de resultados (perfil de flujo, línea de energía, esfuerzo cortante, velocidad, borde libre)</t>
  </si>
  <si>
    <t>M03A05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</si>
  <si>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</si>
  <si>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</si>
  <si>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</si>
  <si>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</si>
  <si>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</si>
  <si>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</si>
  <si>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</si>
  <si>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</si>
  <si>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</si>
  <si>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0.## m</t>
  </si>
  <si>
    <t>#.## m/s
#.## m/s</t>
  </si>
  <si>
    <t>## N/m²
## N/m²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</si>
  <si>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</si>
  <si>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En caso de haber realizado ajustes en las condiciones de frontera para flujo permanente y no permanente, comprimir como HECRAS_v1_aaaammdd.zip.</t>
  </si>
  <si>
    <t>Reporte &amp; 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</si>
</sst>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  <font>
      <sz val="8"/>
      <color theme="1"/>
      <name val="Segoe UI Light"/>
      <family val="2"/>
    </font>
    <font>
      <sz val="10"/>
      <color rgb="FF0070C0"/>
      <name val="Segoe UI Light"/>
      <family val="2"/>
    </font>
    <font>
      <u/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7" fillId="0" borderId="0" xfId="4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8" fillId="0" borderId="0" xfId="2" applyFont="1" applyFill="1" applyAlignment="1">
      <alignment horizontal="right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4" applyFont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7" fillId="0" borderId="5" xfId="0" applyNumberFormat="1" applyFont="1" applyBorder="1" applyAlignment="1" applyProtection="1">
      <alignment horizontal="left" vertical="top" wrapText="1"/>
      <protection locked="0"/>
    </xf>
    <xf numFmtId="0" fontId="7" fillId="2" borderId="18" xfId="0" applyFont="1" applyFill="1" applyBorder="1" applyAlignment="1">
      <alignment horizontal="center" vertical="top" wrapText="1"/>
    </xf>
    <xf numFmtId="0" fontId="7" fillId="2" borderId="19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2" borderId="17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center" vertical="top" wrapText="1"/>
    </xf>
    <xf numFmtId="164" fontId="7" fillId="0" borderId="22" xfId="0" applyNumberFormat="1" applyFont="1" applyBorder="1" applyAlignment="1" applyProtection="1">
      <alignment horizontal="left" vertical="top" wrapText="1"/>
      <protection locked="0"/>
    </xf>
    <xf numFmtId="164" fontId="7" fillId="0" borderId="3" xfId="0" applyNumberFormat="1" applyFont="1" applyBorder="1" applyAlignment="1" applyProtection="1">
      <alignment horizontal="left" vertical="top" wrapText="1"/>
      <protection locked="0"/>
    </xf>
    <xf numFmtId="164" fontId="7" fillId="0" borderId="7" xfId="0" applyNumberFormat="1" applyFont="1" applyBorder="1" applyAlignment="1" applyProtection="1">
      <alignment horizontal="left" vertical="top" wrapText="1"/>
      <protection locked="0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2" fontId="7" fillId="0" borderId="1" xfId="0" applyNumberFormat="1" applyFont="1" applyBorder="1" applyAlignment="1">
      <alignment horizontal="center" vertical="top" wrapText="1"/>
    </xf>
    <xf numFmtId="2" fontId="6" fillId="0" borderId="5" xfId="0" applyNumberFormat="1" applyFont="1" applyBorder="1" applyAlignment="1">
      <alignment horizontal="center" vertical="top"/>
    </xf>
    <xf numFmtId="9" fontId="7" fillId="0" borderId="0" xfId="6" applyFont="1" applyAlignment="1">
      <alignment horizontal="center" vertical="top" wrapText="1"/>
    </xf>
    <xf numFmtId="10" fontId="7" fillId="0" borderId="0" xfId="6" applyNumberFormat="1" applyFont="1" applyAlignment="1">
      <alignment horizontal="center" vertical="top" wrapText="1"/>
    </xf>
    <xf numFmtId="165" fontId="7" fillId="0" borderId="0" xfId="6" applyNumberFormat="1" applyFont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7" fillId="0" borderId="0" xfId="2" applyFont="1" applyFill="1" applyAlignment="1">
      <alignment horizontal="left" vertical="top"/>
    </xf>
    <xf numFmtId="0" fontId="12" fillId="0" borderId="0" xfId="0" applyFont="1" applyAlignment="1">
      <alignment horizontal="right" vertical="top"/>
    </xf>
    <xf numFmtId="0" fontId="6" fillId="0" borderId="6" xfId="0" applyFont="1" applyBorder="1" applyAlignment="1">
      <alignment horizontal="center" vertical="top"/>
    </xf>
    <xf numFmtId="2" fontId="7" fillId="0" borderId="9" xfId="0" applyNumberFormat="1" applyFont="1" applyBorder="1" applyAlignment="1">
      <alignment horizontal="center" vertical="top" wrapText="1"/>
    </xf>
    <xf numFmtId="2" fontId="6" fillId="0" borderId="7" xfId="0" applyNumberFormat="1" applyFont="1" applyBorder="1" applyAlignment="1">
      <alignment horizontal="center" vertical="top"/>
    </xf>
    <xf numFmtId="2" fontId="13" fillId="0" borderId="1" xfId="0" applyNumberFormat="1" applyFont="1" applyBorder="1" applyAlignment="1">
      <alignment horizontal="center" vertical="top"/>
    </xf>
    <xf numFmtId="2" fontId="13" fillId="0" borderId="9" xfId="0" applyNumberFormat="1" applyFont="1" applyBorder="1" applyAlignment="1">
      <alignment horizontal="center" vertical="top"/>
    </xf>
    <xf numFmtId="2" fontId="13" fillId="0" borderId="1" xfId="0" applyNumberFormat="1" applyFont="1" applyBorder="1" applyAlignment="1">
      <alignment horizontal="center" vertical="top" wrapText="1"/>
    </xf>
    <xf numFmtId="2" fontId="13" fillId="0" borderId="9" xfId="0" applyNumberFormat="1" applyFont="1" applyBorder="1" applyAlignment="1">
      <alignment horizontal="center" vertical="top" wrapText="1"/>
    </xf>
    <xf numFmtId="2" fontId="13" fillId="0" borderId="10" xfId="0" applyNumberFormat="1" applyFont="1" applyBorder="1" applyAlignment="1" applyProtection="1">
      <alignment horizontal="center" vertical="top" wrapText="1"/>
      <protection locked="0"/>
    </xf>
    <xf numFmtId="2" fontId="13" fillId="0" borderId="8" xfId="0" applyNumberFormat="1" applyFont="1" applyBorder="1" applyAlignment="1" applyProtection="1">
      <alignment horizontal="center" vertical="top" wrapText="1"/>
      <protection locked="0"/>
    </xf>
    <xf numFmtId="2" fontId="13" fillId="0" borderId="13" xfId="0" applyNumberFormat="1" applyFont="1" applyBorder="1" applyAlignment="1" applyProtection="1">
      <alignment horizontal="center" vertical="top" wrapText="1"/>
      <protection locked="0"/>
    </xf>
    <xf numFmtId="2" fontId="13" fillId="0" borderId="3" xfId="0" applyNumberFormat="1" applyFont="1" applyBorder="1" applyAlignment="1">
      <alignment horizontal="left" vertical="top" wrapText="1"/>
    </xf>
    <xf numFmtId="2" fontId="13" fillId="0" borderId="11" xfId="0" applyNumberFormat="1" applyFont="1" applyBorder="1" applyAlignment="1" applyProtection="1">
      <alignment horizontal="center" vertical="top" wrapText="1"/>
      <protection locked="0"/>
    </xf>
    <xf numFmtId="2" fontId="13" fillId="0" borderId="1" xfId="0" applyNumberFormat="1" applyFont="1" applyBorder="1" applyAlignment="1" applyProtection="1">
      <alignment horizontal="center" vertical="top" wrapText="1"/>
      <protection locked="0"/>
    </xf>
    <xf numFmtId="2" fontId="13" fillId="0" borderId="14" xfId="0" applyNumberFormat="1" applyFont="1" applyBorder="1" applyAlignment="1" applyProtection="1">
      <alignment horizontal="center" vertical="top" wrapText="1"/>
      <protection locked="0"/>
    </xf>
    <xf numFmtId="2" fontId="13" fillId="0" borderId="5" xfId="0" applyNumberFormat="1" applyFont="1" applyBorder="1" applyAlignment="1">
      <alignment horizontal="left" vertical="top" wrapText="1"/>
    </xf>
    <xf numFmtId="9" fontId="13" fillId="0" borderId="5" xfId="6" applyFont="1" applyBorder="1" applyAlignment="1">
      <alignment horizontal="left" vertical="top" wrapText="1"/>
    </xf>
    <xf numFmtId="2" fontId="14" fillId="0" borderId="1" xfId="0" applyNumberFormat="1" applyFont="1" applyBorder="1" applyAlignment="1" applyProtection="1">
      <alignment horizontal="center" vertical="top" wrapText="1"/>
      <protection locked="0"/>
    </xf>
    <xf numFmtId="2" fontId="13" fillId="0" borderId="12" xfId="0" applyNumberFormat="1" applyFont="1" applyBorder="1" applyAlignment="1" applyProtection="1">
      <alignment horizontal="center" vertical="top" wrapText="1"/>
      <protection locked="0"/>
    </xf>
    <xf numFmtId="2" fontId="13" fillId="0" borderId="9" xfId="0" applyNumberFormat="1" applyFont="1" applyBorder="1" applyAlignment="1" applyProtection="1">
      <alignment horizontal="center" vertical="top" wrapText="1"/>
      <protection locked="0"/>
    </xf>
    <xf numFmtId="2" fontId="13" fillId="0" borderId="15" xfId="0" applyNumberFormat="1" applyFont="1" applyBorder="1" applyAlignment="1" applyProtection="1">
      <alignment horizontal="center" vertical="top" wrapText="1"/>
      <protection locked="0"/>
    </xf>
    <xf numFmtId="2" fontId="13" fillId="0" borderId="7" xfId="0" applyNumberFormat="1" applyFont="1" applyBorder="1" applyAlignment="1">
      <alignment horizontal="left" vertical="top" wrapText="1"/>
    </xf>
    <xf numFmtId="9" fontId="13" fillId="0" borderId="7" xfId="6" applyFont="1" applyBorder="1" applyAlignment="1">
      <alignment horizontal="left" vertical="top" wrapText="1"/>
    </xf>
    <xf numFmtId="2" fontId="13" fillId="0" borderId="23" xfId="0" applyNumberFormat="1" applyFont="1" applyBorder="1" applyAlignment="1" applyProtection="1">
      <alignment horizontal="center" vertical="top" wrapText="1"/>
      <protection locked="0"/>
    </xf>
    <xf numFmtId="2" fontId="13" fillId="0" borderId="24" xfId="0" applyNumberFormat="1" applyFont="1" applyBorder="1" applyAlignment="1" applyProtection="1">
      <alignment horizontal="center" vertical="top" wrapText="1"/>
      <protection locked="0"/>
    </xf>
    <xf numFmtId="2" fontId="13" fillId="0" borderId="25" xfId="0" applyNumberFormat="1" applyFont="1" applyBorder="1" applyAlignment="1" applyProtection="1">
      <alignment horizontal="center" vertical="top" wrapText="1"/>
      <protection locked="0"/>
    </xf>
    <xf numFmtId="164" fontId="7" fillId="0" borderId="17" xfId="0" applyNumberFormat="1" applyFont="1" applyBorder="1" applyAlignment="1" applyProtection="1">
      <alignment horizontal="left" vertical="top" wrapText="1"/>
      <protection locked="0"/>
    </xf>
    <xf numFmtId="2" fontId="13" fillId="0" borderId="19" xfId="0" applyNumberFormat="1" applyFont="1" applyBorder="1" applyAlignment="1" applyProtection="1">
      <alignment horizontal="center" vertical="top" wrapText="1"/>
      <protection locked="0"/>
    </xf>
    <xf numFmtId="2" fontId="13" fillId="0" borderId="20" xfId="0" applyNumberFormat="1" applyFont="1" applyBorder="1" applyAlignment="1" applyProtection="1">
      <alignment horizontal="center" vertical="top" wrapText="1"/>
      <protection locked="0"/>
    </xf>
    <xf numFmtId="2" fontId="13" fillId="0" borderId="17" xfId="0" applyNumberFormat="1" applyFont="1" applyBorder="1" applyAlignment="1">
      <alignment horizontal="left" vertical="top" wrapText="1"/>
    </xf>
    <xf numFmtId="164" fontId="7" fillId="0" borderId="28" xfId="0" applyNumberFormat="1" applyFont="1" applyBorder="1" applyAlignment="1" applyProtection="1">
      <alignment horizontal="left" vertical="top" wrapText="1"/>
      <protection locked="0"/>
    </xf>
    <xf numFmtId="2" fontId="13" fillId="0" borderId="29" xfId="0" applyNumberFormat="1" applyFont="1" applyBorder="1" applyAlignment="1" applyProtection="1">
      <alignment horizontal="center" vertical="top" wrapText="1"/>
      <protection locked="0"/>
    </xf>
    <xf numFmtId="2" fontId="13" fillId="0" borderId="30" xfId="0" applyNumberFormat="1" applyFont="1" applyBorder="1" applyAlignment="1" applyProtection="1">
      <alignment horizontal="center" vertical="top" wrapText="1"/>
      <protection locked="0"/>
    </xf>
    <xf numFmtId="2" fontId="13" fillId="0" borderId="31" xfId="0" applyNumberFormat="1" applyFont="1" applyBorder="1" applyAlignment="1" applyProtection="1">
      <alignment horizontal="center" vertical="top" wrapText="1"/>
      <protection locked="0"/>
    </xf>
    <xf numFmtId="0" fontId="7" fillId="2" borderId="16" xfId="4" applyFont="1" applyFill="1" applyBorder="1" applyAlignment="1">
      <alignment horizontal="right" vertical="top" textRotation="90"/>
    </xf>
    <xf numFmtId="2" fontId="14" fillId="0" borderId="30" xfId="0" applyNumberFormat="1" applyFont="1" applyBorder="1" applyAlignment="1" applyProtection="1">
      <alignment horizontal="center" vertical="top" wrapText="1"/>
      <protection locked="0"/>
    </xf>
    <xf numFmtId="2" fontId="14" fillId="0" borderId="28" xfId="0" applyNumberFormat="1" applyFont="1" applyBorder="1" applyAlignment="1">
      <alignment horizontal="left" vertical="top" wrapText="1"/>
    </xf>
    <xf numFmtId="2" fontId="14" fillId="0" borderId="24" xfId="0" applyNumberFormat="1" applyFont="1" applyBorder="1" applyAlignment="1" applyProtection="1">
      <alignment horizontal="center" vertical="top" wrapText="1"/>
      <protection locked="0"/>
    </xf>
    <xf numFmtId="2" fontId="14" fillId="0" borderId="22" xfId="0" applyNumberFormat="1" applyFont="1" applyBorder="1" applyAlignment="1">
      <alignment horizontal="left" vertical="top" wrapText="1"/>
    </xf>
    <xf numFmtId="2" fontId="14" fillId="0" borderId="18" xfId="0" applyNumberFormat="1" applyFont="1" applyBorder="1" applyAlignment="1" applyProtection="1">
      <alignment horizontal="center" vertical="top" wrapText="1"/>
      <protection locked="0"/>
    </xf>
    <xf numFmtId="0" fontId="6" fillId="0" borderId="0" xfId="0" applyFont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/>
    </xf>
    <xf numFmtId="0" fontId="7" fillId="2" borderId="32" xfId="4" applyFont="1" applyFill="1" applyBorder="1" applyAlignment="1">
      <alignment horizontal="center" vertical="top" textRotation="90"/>
    </xf>
    <xf numFmtId="0" fontId="7" fillId="2" borderId="21" xfId="4" applyFont="1" applyFill="1" applyBorder="1" applyAlignment="1">
      <alignment horizontal="center" vertical="top" textRotation="90"/>
    </xf>
    <xf numFmtId="164" fontId="7" fillId="2" borderId="27" xfId="0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17" xfId="0" applyFont="1" applyFill="1" applyBorder="1" applyAlignment="1">
      <alignment horizontal="left" vertical="top" wrapText="1"/>
    </xf>
    <xf numFmtId="0" fontId="7" fillId="2" borderId="2" xfId="4" applyFont="1" applyFill="1" applyBorder="1" applyAlignment="1">
      <alignment horizontal="center" vertical="top" textRotation="90"/>
    </xf>
    <xf numFmtId="0" fontId="7" fillId="2" borderId="16" xfId="4" applyFont="1" applyFill="1" applyBorder="1" applyAlignment="1">
      <alignment horizontal="center" vertical="top" textRotation="90"/>
    </xf>
    <xf numFmtId="0" fontId="7" fillId="2" borderId="4" xfId="4" applyFont="1" applyFill="1" applyBorder="1" applyAlignment="1">
      <alignment horizontal="center" vertical="top" textRotation="90"/>
    </xf>
    <xf numFmtId="0" fontId="7" fillId="2" borderId="6" xfId="4" applyFont="1" applyFill="1" applyBorder="1" applyAlignment="1">
      <alignment horizontal="center" vertical="top" textRotation="90"/>
    </xf>
    <xf numFmtId="0" fontId="7" fillId="2" borderId="2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2" fontId="7" fillId="2" borderId="27" xfId="0" applyNumberFormat="1" applyFont="1" applyFill="1" applyBorder="1" applyAlignment="1">
      <alignment horizontal="center" vertical="top" wrapText="1"/>
    </xf>
    <xf numFmtId="0" fontId="7" fillId="2" borderId="27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13" xfId="0" applyFont="1" applyFill="1" applyBorder="1" applyAlignment="1">
      <alignment horizontal="center" vertical="top" wrapText="1"/>
    </xf>
  </cellXfs>
  <cellStyles count="7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3.5. Análisis de resultados (perfil de flujo, línea de energía, esfuerzo cortante, velocidad, borde libre)</c:v>
            </c:pt>
          </c:strCache>
        </c:strRef>
      </c:tx>
      <c:layout>
        <c:manualLayout>
          <c:xMode val="edge"/>
          <c:yMode val="edge"/>
          <c:x val="0.1291068598724332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687249787428798"/>
          <c:y val="0.20877098765432098"/>
          <c:w val="0.83492607174103239"/>
          <c:h val="0.424116358024691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151700</xdr:colOff>
      <xdr:row>2</xdr:row>
      <xdr:rowOff>171694</xdr:rowOff>
    </xdr:from>
    <xdr:to>
      <xdr:col>14</xdr:col>
      <xdr:colOff>209838</xdr:colOff>
      <xdr:row>18</xdr:row>
      <xdr:rowOff>68091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45" zoomScaleNormal="145" workbookViewId="0">
      <selection activeCell="E9" sqref="E9"/>
    </sheetView>
  </sheetViews>
  <sheetFormatPr defaultColWidth="11.3984375" defaultRowHeight="15.4" x14ac:dyDescent="0.45"/>
  <cols>
    <col min="1" max="1" width="2.6640625" style="5" customWidth="1"/>
    <col min="2" max="2" width="15.1328125" style="5" customWidth="1"/>
    <col min="3" max="3" width="11.1328125" style="5" customWidth="1"/>
    <col min="4" max="4" width="11.33203125" style="5" customWidth="1"/>
    <col min="5" max="5" width="12.53125" style="5" customWidth="1"/>
    <col min="6" max="6" width="11.33203125" style="5" customWidth="1"/>
    <col min="7" max="7" width="2.6640625" style="5" customWidth="1"/>
    <col min="8" max="16384" width="11.3984375" style="5"/>
  </cols>
  <sheetData>
    <row r="1" spans="2:6" x14ac:dyDescent="0.45">
      <c r="F1" s="38" t="s">
        <v>31</v>
      </c>
    </row>
    <row r="2" spans="2:6" ht="14.25" customHeight="1" x14ac:dyDescent="0.45">
      <c r="B2" s="78" t="s">
        <v>30</v>
      </c>
      <c r="C2" s="78"/>
      <c r="D2" s="78"/>
      <c r="E2" s="78"/>
      <c r="F2" s="78"/>
    </row>
    <row r="3" spans="2:6" ht="16.5" customHeight="1" x14ac:dyDescent="0.45">
      <c r="B3" s="79"/>
      <c r="C3" s="79"/>
      <c r="D3" s="79"/>
      <c r="E3" s="79"/>
      <c r="F3" s="79"/>
    </row>
    <row r="4" spans="2:6" ht="33" x14ac:dyDescent="0.45">
      <c r="B4" s="28" t="s">
        <v>2</v>
      </c>
      <c r="C4" s="29" t="s">
        <v>19</v>
      </c>
      <c r="D4" s="36" t="s">
        <v>22</v>
      </c>
      <c r="E4" s="36" t="s">
        <v>23</v>
      </c>
      <c r="F4" s="30" t="s">
        <v>20</v>
      </c>
    </row>
    <row r="5" spans="2:6" x14ac:dyDescent="0.45">
      <c r="B5" s="4" t="s">
        <v>25</v>
      </c>
      <c r="C5" s="42">
        <v>5</v>
      </c>
      <c r="D5" s="31">
        <f>Detalle!D21*C5/5</f>
        <v>0</v>
      </c>
      <c r="E5" s="44"/>
      <c r="F5" s="32">
        <f>AVERAGE(D5:E5)</f>
        <v>0</v>
      </c>
    </row>
    <row r="6" spans="2:6" x14ac:dyDescent="0.45">
      <c r="B6" s="4" t="s">
        <v>26</v>
      </c>
      <c r="C6" s="42">
        <v>5</v>
      </c>
      <c r="D6" s="31">
        <f>Detalle!I21*C6/5</f>
        <v>0</v>
      </c>
      <c r="E6" s="44"/>
      <c r="F6" s="32">
        <f t="shared" ref="F6:F18" si="0">AVERAGE(D6:E6)</f>
        <v>0</v>
      </c>
    </row>
    <row r="7" spans="2:6" x14ac:dyDescent="0.45">
      <c r="B7" s="4" t="s">
        <v>27</v>
      </c>
      <c r="C7" s="42">
        <v>5</v>
      </c>
      <c r="D7" s="31">
        <f>Detalle!N21*C7/5</f>
        <v>0</v>
      </c>
      <c r="E7" s="44"/>
      <c r="F7" s="32">
        <f t="shared" si="0"/>
        <v>0</v>
      </c>
    </row>
    <row r="8" spans="2:6" x14ac:dyDescent="0.45">
      <c r="B8" s="4" t="s">
        <v>28</v>
      </c>
      <c r="C8" s="42">
        <v>5</v>
      </c>
      <c r="D8" s="31">
        <f>Detalle!S21*C8/5</f>
        <v>0</v>
      </c>
      <c r="E8" s="44"/>
      <c r="F8" s="32">
        <f t="shared" si="0"/>
        <v>0</v>
      </c>
    </row>
    <row r="9" spans="2:6" x14ac:dyDescent="0.45">
      <c r="B9" s="4" t="s">
        <v>29</v>
      </c>
      <c r="C9" s="42">
        <v>5</v>
      </c>
      <c r="D9" s="31">
        <f>Detalle!X21*C9/5</f>
        <v>0</v>
      </c>
      <c r="E9" s="44"/>
      <c r="F9" s="32">
        <f t="shared" si="0"/>
        <v>0</v>
      </c>
    </row>
    <row r="10" spans="2:6" x14ac:dyDescent="0.45">
      <c r="B10" s="4" t="s">
        <v>32</v>
      </c>
      <c r="C10" s="42">
        <v>5</v>
      </c>
      <c r="D10" s="31">
        <f>Detalle!AC21*C10/5</f>
        <v>0</v>
      </c>
      <c r="E10" s="44"/>
      <c r="F10" s="32">
        <f t="shared" si="0"/>
        <v>0</v>
      </c>
    </row>
    <row r="11" spans="2:6" x14ac:dyDescent="0.45">
      <c r="B11" s="4" t="s">
        <v>33</v>
      </c>
      <c r="C11" s="42">
        <v>5</v>
      </c>
      <c r="D11" s="31">
        <f>Detalle!AH21*C11/5</f>
        <v>0</v>
      </c>
      <c r="E11" s="44"/>
      <c r="F11" s="32">
        <f t="shared" si="0"/>
        <v>0</v>
      </c>
    </row>
    <row r="12" spans="2:6" x14ac:dyDescent="0.45">
      <c r="B12" s="4" t="s">
        <v>34</v>
      </c>
      <c r="C12" s="42">
        <v>5</v>
      </c>
      <c r="D12" s="31">
        <f>Detalle!AM21*C12/5</f>
        <v>0</v>
      </c>
      <c r="E12" s="44"/>
      <c r="F12" s="32">
        <f t="shared" si="0"/>
        <v>0</v>
      </c>
    </row>
    <row r="13" spans="2:6" x14ac:dyDescent="0.45">
      <c r="B13" s="4" t="s">
        <v>35</v>
      </c>
      <c r="C13" s="42">
        <v>5</v>
      </c>
      <c r="D13" s="31">
        <f>Detalle!AR21*C13/5</f>
        <v>0</v>
      </c>
      <c r="E13" s="44"/>
      <c r="F13" s="32">
        <f t="shared" si="0"/>
        <v>0</v>
      </c>
    </row>
    <row r="14" spans="2:6" x14ac:dyDescent="0.45">
      <c r="B14" s="4" t="s">
        <v>36</v>
      </c>
      <c r="C14" s="42">
        <v>5</v>
      </c>
      <c r="D14" s="31">
        <f>Detalle!AW21*C14/5</f>
        <v>0</v>
      </c>
      <c r="E14" s="44"/>
      <c r="F14" s="32">
        <f t="shared" si="0"/>
        <v>0</v>
      </c>
    </row>
    <row r="15" spans="2:6" x14ac:dyDescent="0.45">
      <c r="B15" s="4" t="s">
        <v>37</v>
      </c>
      <c r="C15" s="42">
        <v>5</v>
      </c>
      <c r="D15" s="31">
        <f>Detalle!BB21*C15/5</f>
        <v>0</v>
      </c>
      <c r="E15" s="44"/>
      <c r="F15" s="32">
        <f t="shared" si="0"/>
        <v>0</v>
      </c>
    </row>
    <row r="16" spans="2:6" x14ac:dyDescent="0.45">
      <c r="B16" s="4" t="s">
        <v>38</v>
      </c>
      <c r="C16" s="42">
        <v>5</v>
      </c>
      <c r="D16" s="31">
        <f>Detalle!BG21*C16/5</f>
        <v>0</v>
      </c>
      <c r="E16" s="44"/>
      <c r="F16" s="32">
        <f t="shared" si="0"/>
        <v>0</v>
      </c>
    </row>
    <row r="17" spans="2:6" x14ac:dyDescent="0.45">
      <c r="B17" s="4" t="s">
        <v>39</v>
      </c>
      <c r="C17" s="42">
        <v>5</v>
      </c>
      <c r="D17" s="31">
        <f>Detalle!BL21*C17/5</f>
        <v>0</v>
      </c>
      <c r="E17" s="44"/>
      <c r="F17" s="32">
        <f t="shared" si="0"/>
        <v>0</v>
      </c>
    </row>
    <row r="18" spans="2:6" x14ac:dyDescent="0.45">
      <c r="B18" s="39" t="s">
        <v>40</v>
      </c>
      <c r="C18" s="43">
        <v>5</v>
      </c>
      <c r="D18" s="40">
        <f>Detalle!BQ21*C18/5</f>
        <v>0</v>
      </c>
      <c r="E18" s="45"/>
      <c r="F18" s="41">
        <f t="shared" si="0"/>
        <v>0</v>
      </c>
    </row>
    <row r="19" spans="2:6" ht="14.25" customHeight="1" x14ac:dyDescent="0.45">
      <c r="B19" s="80" t="str">
        <f>HYPERLINK(_xlfn.CONCAT("https://github.com/rcfdtools/R.HCMC/blob/main/activity/",F1,"/Readme.md"),_xlfn.CONCAT("Ir a actividad ",F1," en GitHub."))</f>
        <v>Ir a actividad M03A05 en GitHub.</v>
      </c>
      <c r="C19" s="80"/>
      <c r="D19" s="80"/>
      <c r="E19" s="80"/>
      <c r="F19" s="80"/>
    </row>
    <row r="20" spans="2:6" x14ac:dyDescent="0.45">
      <c r="B20" s="80"/>
      <c r="C20" s="80"/>
      <c r="D20" s="80"/>
      <c r="E20" s="80"/>
      <c r="F20" s="80"/>
    </row>
    <row r="21" spans="2:6" x14ac:dyDescent="0.45">
      <c r="B21" s="8"/>
      <c r="C21" s="8"/>
      <c r="D21" s="8"/>
      <c r="E21" s="7"/>
      <c r="F21" s="7"/>
    </row>
  </sheetData>
  <mergeCells count="3">
    <mergeCell ref="B2:F3"/>
    <mergeCell ref="B19:F19"/>
    <mergeCell ref="B20:F20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BU57"/>
  <sheetViews>
    <sheetView showGridLines="0" zoomScale="115" zoomScaleNormal="115" workbookViewId="0">
      <pane xSplit="3" ySplit="3" topLeftCell="D12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defaultColWidth="11.3984375" defaultRowHeight="15.4" x14ac:dyDescent="0.45"/>
  <cols>
    <col min="1" max="2" width="2.6640625" style="9" customWidth="1"/>
    <col min="3" max="3" width="60.6640625" style="8" customWidth="1"/>
    <col min="4" max="6" width="10.6640625" style="7" customWidth="1"/>
    <col min="7" max="7" width="15.6640625" style="7" customWidth="1"/>
    <col min="8" max="8" width="20.6640625" style="7" customWidth="1"/>
    <col min="9" max="11" width="10.6640625" style="7" customWidth="1"/>
    <col min="12" max="12" width="15.6640625" style="7" customWidth="1"/>
    <col min="13" max="13" width="20.6640625" style="7" customWidth="1"/>
    <col min="14" max="16" width="10.6640625" style="7" customWidth="1"/>
    <col min="17" max="17" width="15.6640625" style="7" customWidth="1"/>
    <col min="18" max="18" width="20.6640625" style="7" customWidth="1"/>
    <col min="19" max="21" width="10.6640625" style="7" customWidth="1"/>
    <col min="22" max="22" width="15.6640625" style="7" customWidth="1"/>
    <col min="23" max="23" width="20.6640625" style="7" customWidth="1"/>
    <col min="24" max="26" width="10.6640625" style="7" customWidth="1"/>
    <col min="27" max="27" width="15.6640625" style="7" customWidth="1"/>
    <col min="28" max="28" width="20.6640625" style="7" customWidth="1"/>
    <col min="29" max="31" width="10.6640625" style="7" customWidth="1"/>
    <col min="32" max="32" width="15.6640625" style="7" customWidth="1"/>
    <col min="33" max="33" width="20.6640625" style="7" customWidth="1"/>
    <col min="34" max="36" width="10.6640625" style="7" customWidth="1"/>
    <col min="37" max="37" width="15.6640625" style="7" customWidth="1"/>
    <col min="38" max="38" width="20.6640625" style="7" customWidth="1"/>
    <col min="39" max="41" width="10.6640625" style="7" customWidth="1"/>
    <col min="42" max="42" width="15.6640625" style="7" customWidth="1"/>
    <col min="43" max="43" width="20.6640625" style="7" customWidth="1"/>
    <col min="44" max="46" width="10.6640625" style="7" customWidth="1"/>
    <col min="47" max="47" width="15.6640625" style="7" customWidth="1"/>
    <col min="48" max="48" width="20.6640625" style="7" customWidth="1"/>
    <col min="49" max="51" width="10.6640625" style="7" customWidth="1"/>
    <col min="52" max="52" width="15.6640625" style="7" customWidth="1"/>
    <col min="53" max="53" width="20.6640625" style="7" customWidth="1"/>
    <col min="54" max="56" width="10.6640625" style="7" customWidth="1"/>
    <col min="57" max="57" width="15.6640625" style="7" customWidth="1"/>
    <col min="58" max="58" width="20.6640625" style="7" customWidth="1"/>
    <col min="59" max="61" width="10.6640625" style="7" customWidth="1"/>
    <col min="62" max="62" width="15.6640625" style="7" customWidth="1"/>
    <col min="63" max="63" width="20.6640625" style="7" customWidth="1"/>
    <col min="64" max="66" width="10.6640625" style="7" customWidth="1"/>
    <col min="67" max="67" width="15.6640625" style="7" customWidth="1"/>
    <col min="68" max="68" width="20.6640625" style="7" customWidth="1"/>
    <col min="69" max="71" width="10.6640625" style="7" customWidth="1"/>
    <col min="72" max="72" width="15.6640625" style="7" customWidth="1"/>
    <col min="73" max="73" width="20.6640625" style="7" customWidth="1"/>
    <col min="74" max="74" width="11.3984375" style="8" customWidth="1"/>
    <col min="75" max="16384" width="11.3984375" style="8"/>
  </cols>
  <sheetData>
    <row r="1" spans="1:73" x14ac:dyDescent="0.45">
      <c r="A1" s="6"/>
      <c r="B1" s="37" t="str">
        <f>Calificacion!B2</f>
        <v>Calificación: 3.5. Análisis de resultados (perfil de flujo, línea de energía, esfuerzo cortante, velocidad, borde libre)</v>
      </c>
      <c r="C1" s="11"/>
      <c r="D1" s="11"/>
      <c r="E1" s="11"/>
      <c r="F1" s="11">
        <v>20</v>
      </c>
      <c r="G1" s="11">
        <v>24</v>
      </c>
      <c r="H1" s="35">
        <f>(1-(F1/G1))</f>
        <v>0.16666666666666663</v>
      </c>
      <c r="I1" s="11"/>
      <c r="J1" s="11"/>
      <c r="K1" s="11">
        <v>20</v>
      </c>
      <c r="L1" s="11">
        <v>50</v>
      </c>
      <c r="M1" s="33">
        <f>(1-(K1/L1))</f>
        <v>0.6</v>
      </c>
      <c r="N1" s="11"/>
      <c r="O1" s="11"/>
      <c r="P1" s="11">
        <v>3</v>
      </c>
      <c r="Q1" s="11">
        <v>2.5</v>
      </c>
      <c r="R1" s="34">
        <f>(1-(P1/Q1))</f>
        <v>-0.19999999999999996</v>
      </c>
      <c r="S1" s="11"/>
      <c r="T1" s="11"/>
      <c r="U1" s="11">
        <v>3</v>
      </c>
      <c r="V1" s="11">
        <v>2.5</v>
      </c>
      <c r="W1" s="34">
        <f>(1-(U1/V1))</f>
        <v>-0.19999999999999996</v>
      </c>
      <c r="X1" s="11"/>
      <c r="Y1" s="11"/>
      <c r="Z1" s="11"/>
      <c r="AA1" s="11"/>
      <c r="AC1" s="11"/>
      <c r="AD1" s="11"/>
      <c r="AE1" s="11">
        <v>20</v>
      </c>
      <c r="AF1" s="11">
        <v>128.94999999999999</v>
      </c>
      <c r="AG1" s="7">
        <f>(1-(AE1/AF1))*100</f>
        <v>84.490112446684762</v>
      </c>
      <c r="AH1" s="11"/>
      <c r="AI1" s="11"/>
      <c r="AJ1" s="11"/>
      <c r="AK1" s="11"/>
      <c r="AL1" s="7">
        <f>(1-(20/18.5))*100</f>
        <v>-8.1081081081081141</v>
      </c>
      <c r="AM1" s="11"/>
      <c r="AN1" s="11"/>
      <c r="AO1" s="11"/>
      <c r="AP1" s="11"/>
      <c r="AR1" s="11"/>
      <c r="AS1" s="11"/>
      <c r="AT1" s="11"/>
      <c r="AU1" s="11"/>
      <c r="AW1" s="11"/>
      <c r="AX1" s="11"/>
      <c r="AY1" s="11"/>
      <c r="AZ1" s="11"/>
      <c r="BB1" s="11"/>
      <c r="BC1" s="11"/>
      <c r="BD1" s="11"/>
      <c r="BE1" s="11"/>
      <c r="BG1" s="11"/>
      <c r="BH1" s="11"/>
      <c r="BI1" s="11"/>
      <c r="BJ1" s="11"/>
      <c r="BL1" s="11"/>
      <c r="BM1" s="11"/>
      <c r="BN1" s="11"/>
      <c r="BO1" s="11"/>
      <c r="BQ1" s="11"/>
      <c r="BR1" s="11"/>
      <c r="BS1" s="11"/>
      <c r="BT1" s="11"/>
    </row>
    <row r="2" spans="1:73" s="10" customFormat="1" x14ac:dyDescent="0.45">
      <c r="A2" s="9"/>
      <c r="B2" s="86" t="s">
        <v>13</v>
      </c>
      <c r="C2" s="84" t="s">
        <v>3</v>
      </c>
      <c r="D2" s="91" t="str">
        <f>Calificacion!$B5</f>
        <v>Grupo 1</v>
      </c>
      <c r="E2" s="95"/>
      <c r="F2" s="96"/>
      <c r="G2" s="96"/>
      <c r="H2" s="92"/>
      <c r="I2" s="90" t="str">
        <f>Calificacion!$B6</f>
        <v>Grupo 2</v>
      </c>
      <c r="J2" s="91"/>
      <c r="K2" s="91"/>
      <c r="L2" s="91"/>
      <c r="M2" s="92"/>
      <c r="N2" s="90" t="str">
        <f>Calificacion!$B7</f>
        <v>Grupo 3</v>
      </c>
      <c r="O2" s="91"/>
      <c r="P2" s="91"/>
      <c r="Q2" s="91"/>
      <c r="R2" s="92"/>
      <c r="S2" s="90" t="str">
        <f>Calificacion!$B8</f>
        <v>Grupo 4</v>
      </c>
      <c r="T2" s="91"/>
      <c r="U2" s="91"/>
      <c r="V2" s="91"/>
      <c r="W2" s="92"/>
      <c r="X2" s="90" t="str">
        <f>Calificacion!$B9</f>
        <v>Grupo 5</v>
      </c>
      <c r="Y2" s="91"/>
      <c r="Z2" s="91"/>
      <c r="AA2" s="91"/>
      <c r="AB2" s="92"/>
      <c r="AC2" s="90" t="str">
        <f>Calificacion!$B10</f>
        <v>Grupo 6</v>
      </c>
      <c r="AD2" s="91"/>
      <c r="AE2" s="91"/>
      <c r="AF2" s="91"/>
      <c r="AG2" s="92"/>
      <c r="AH2" s="90" t="str">
        <f>Calificacion!$B11</f>
        <v>Grupo 7</v>
      </c>
      <c r="AI2" s="91"/>
      <c r="AJ2" s="91"/>
      <c r="AK2" s="91"/>
      <c r="AL2" s="92"/>
      <c r="AM2" s="90" t="str">
        <f>Calificacion!$B12</f>
        <v>Grupo 8</v>
      </c>
      <c r="AN2" s="91"/>
      <c r="AO2" s="91"/>
      <c r="AP2" s="91"/>
      <c r="AQ2" s="92"/>
      <c r="AR2" s="90" t="str">
        <f>Calificacion!$B13</f>
        <v>Grupo 9</v>
      </c>
      <c r="AS2" s="91"/>
      <c r="AT2" s="91"/>
      <c r="AU2" s="91"/>
      <c r="AV2" s="92"/>
      <c r="AW2" s="90" t="str">
        <f>Calificacion!$B14</f>
        <v>Grupo 10</v>
      </c>
      <c r="AX2" s="91"/>
      <c r="AY2" s="91"/>
      <c r="AZ2" s="91"/>
      <c r="BA2" s="92"/>
      <c r="BB2" s="90" t="str">
        <f>Calificacion!$B15</f>
        <v>Grupo 11</v>
      </c>
      <c r="BC2" s="91"/>
      <c r="BD2" s="91"/>
      <c r="BE2" s="91"/>
      <c r="BF2" s="92"/>
      <c r="BG2" s="90" t="str">
        <f>Calificacion!$B16</f>
        <v>Grupo 12</v>
      </c>
      <c r="BH2" s="91"/>
      <c r="BI2" s="91"/>
      <c r="BJ2" s="91"/>
      <c r="BK2" s="92"/>
      <c r="BL2" s="90" t="str">
        <f>Calificacion!$B17</f>
        <v>Grupo 13</v>
      </c>
      <c r="BM2" s="91"/>
      <c r="BN2" s="91"/>
      <c r="BO2" s="91"/>
      <c r="BP2" s="92"/>
      <c r="BQ2" s="90" t="str">
        <f>Calificacion!$B18</f>
        <v>Grupo 14</v>
      </c>
      <c r="BR2" s="91"/>
      <c r="BS2" s="91"/>
      <c r="BT2" s="91"/>
      <c r="BU2" s="92"/>
    </row>
    <row r="3" spans="1:73" ht="30.75" x14ac:dyDescent="0.45">
      <c r="B3" s="87"/>
      <c r="C3" s="85"/>
      <c r="D3" s="14" t="s">
        <v>1</v>
      </c>
      <c r="E3" s="15" t="s">
        <v>10</v>
      </c>
      <c r="F3" s="15" t="s">
        <v>11</v>
      </c>
      <c r="G3" s="16" t="s">
        <v>21</v>
      </c>
      <c r="H3" s="17" t="s">
        <v>0</v>
      </c>
      <c r="I3" s="18" t="s">
        <v>1</v>
      </c>
      <c r="J3" s="15" t="s">
        <v>10</v>
      </c>
      <c r="K3" s="15" t="s">
        <v>11</v>
      </c>
      <c r="L3" s="16" t="s">
        <v>21</v>
      </c>
      <c r="M3" s="17" t="s">
        <v>0</v>
      </c>
      <c r="N3" s="18" t="s">
        <v>1</v>
      </c>
      <c r="O3" s="15" t="s">
        <v>10</v>
      </c>
      <c r="P3" s="15" t="s">
        <v>11</v>
      </c>
      <c r="Q3" s="16" t="s">
        <v>21</v>
      </c>
      <c r="R3" s="17" t="s">
        <v>0</v>
      </c>
      <c r="S3" s="18" t="s">
        <v>1</v>
      </c>
      <c r="T3" s="15" t="s">
        <v>10</v>
      </c>
      <c r="U3" s="15" t="s">
        <v>11</v>
      </c>
      <c r="V3" s="16" t="s">
        <v>21</v>
      </c>
      <c r="W3" s="17" t="s">
        <v>0</v>
      </c>
      <c r="X3" s="18" t="s">
        <v>1</v>
      </c>
      <c r="Y3" s="15" t="s">
        <v>10</v>
      </c>
      <c r="Z3" s="15" t="s">
        <v>11</v>
      </c>
      <c r="AA3" s="16" t="s">
        <v>21</v>
      </c>
      <c r="AB3" s="17" t="s">
        <v>0</v>
      </c>
      <c r="AC3" s="18" t="s">
        <v>1</v>
      </c>
      <c r="AD3" s="15" t="s">
        <v>10</v>
      </c>
      <c r="AE3" s="15" t="s">
        <v>11</v>
      </c>
      <c r="AF3" s="16" t="s">
        <v>21</v>
      </c>
      <c r="AG3" s="17" t="s">
        <v>0</v>
      </c>
      <c r="AH3" s="18" t="s">
        <v>1</v>
      </c>
      <c r="AI3" s="15" t="s">
        <v>10</v>
      </c>
      <c r="AJ3" s="15" t="s">
        <v>11</v>
      </c>
      <c r="AK3" s="16" t="s">
        <v>21</v>
      </c>
      <c r="AL3" s="17" t="s">
        <v>0</v>
      </c>
      <c r="AM3" s="18" t="s">
        <v>1</v>
      </c>
      <c r="AN3" s="15" t="s">
        <v>10</v>
      </c>
      <c r="AO3" s="15" t="s">
        <v>11</v>
      </c>
      <c r="AP3" s="16" t="s">
        <v>21</v>
      </c>
      <c r="AQ3" s="17" t="s">
        <v>0</v>
      </c>
      <c r="AR3" s="18" t="s">
        <v>1</v>
      </c>
      <c r="AS3" s="15" t="s">
        <v>10</v>
      </c>
      <c r="AT3" s="15" t="s">
        <v>11</v>
      </c>
      <c r="AU3" s="16" t="s">
        <v>21</v>
      </c>
      <c r="AV3" s="17" t="s">
        <v>0</v>
      </c>
      <c r="AW3" s="18" t="s">
        <v>1</v>
      </c>
      <c r="AX3" s="15" t="s">
        <v>10</v>
      </c>
      <c r="AY3" s="15" t="s">
        <v>11</v>
      </c>
      <c r="AZ3" s="16" t="s">
        <v>21</v>
      </c>
      <c r="BA3" s="17" t="s">
        <v>0</v>
      </c>
      <c r="BB3" s="18" t="s">
        <v>1</v>
      </c>
      <c r="BC3" s="15" t="s">
        <v>10</v>
      </c>
      <c r="BD3" s="15" t="s">
        <v>11</v>
      </c>
      <c r="BE3" s="16" t="s">
        <v>21</v>
      </c>
      <c r="BF3" s="17" t="s">
        <v>0</v>
      </c>
      <c r="BG3" s="18" t="s">
        <v>1</v>
      </c>
      <c r="BH3" s="15" t="s">
        <v>10</v>
      </c>
      <c r="BI3" s="15" t="s">
        <v>11</v>
      </c>
      <c r="BJ3" s="16" t="s">
        <v>21</v>
      </c>
      <c r="BK3" s="17" t="s">
        <v>0</v>
      </c>
      <c r="BL3" s="18" t="s">
        <v>1</v>
      </c>
      <c r="BM3" s="15" t="s">
        <v>10</v>
      </c>
      <c r="BN3" s="15" t="s">
        <v>11</v>
      </c>
      <c r="BO3" s="16" t="s">
        <v>21</v>
      </c>
      <c r="BP3" s="17" t="s">
        <v>0</v>
      </c>
      <c r="BQ3" s="18" t="s">
        <v>1</v>
      </c>
      <c r="BR3" s="15" t="s">
        <v>10</v>
      </c>
      <c r="BS3" s="15" t="s">
        <v>11</v>
      </c>
      <c r="BT3" s="16" t="s">
        <v>21</v>
      </c>
      <c r="BU3" s="17" t="s">
        <v>0</v>
      </c>
    </row>
    <row r="4" spans="1:73" ht="112.15" customHeight="1" x14ac:dyDescent="0.45">
      <c r="B4" s="86" t="s">
        <v>12</v>
      </c>
      <c r="C4" s="20" t="s">
        <v>4</v>
      </c>
      <c r="D4" s="46">
        <v>0</v>
      </c>
      <c r="E4" s="47"/>
      <c r="F4" s="47"/>
      <c r="G4" s="48"/>
      <c r="H4" s="49"/>
      <c r="I4" s="46">
        <v>0</v>
      </c>
      <c r="J4" s="47"/>
      <c r="K4" s="47"/>
      <c r="L4" s="48"/>
      <c r="M4" s="49"/>
      <c r="N4" s="46">
        <v>0</v>
      </c>
      <c r="O4" s="47"/>
      <c r="P4" s="47"/>
      <c r="Q4" s="48"/>
      <c r="R4" s="49"/>
      <c r="S4" s="46">
        <v>0</v>
      </c>
      <c r="T4" s="47"/>
      <c r="U4" s="47"/>
      <c r="V4" s="48"/>
      <c r="W4" s="49"/>
      <c r="X4" s="46">
        <v>0</v>
      </c>
      <c r="Y4" s="47"/>
      <c r="Z4" s="47"/>
      <c r="AA4" s="48"/>
      <c r="AB4" s="49"/>
      <c r="AC4" s="46">
        <v>0</v>
      </c>
      <c r="AD4" s="47"/>
      <c r="AE4" s="47"/>
      <c r="AF4" s="48"/>
      <c r="AG4" s="49"/>
      <c r="AH4" s="46">
        <v>0</v>
      </c>
      <c r="AI4" s="47"/>
      <c r="AJ4" s="47"/>
      <c r="AK4" s="48"/>
      <c r="AL4" s="49"/>
      <c r="AM4" s="46">
        <v>0</v>
      </c>
      <c r="AN4" s="47"/>
      <c r="AO4" s="47"/>
      <c r="AP4" s="48"/>
      <c r="AQ4" s="49"/>
      <c r="AR4" s="46">
        <v>0</v>
      </c>
      <c r="AS4" s="47"/>
      <c r="AT4" s="47"/>
      <c r="AU4" s="48"/>
      <c r="AV4" s="49"/>
      <c r="AW4" s="46">
        <v>0</v>
      </c>
      <c r="AX4" s="47"/>
      <c r="AY4" s="47"/>
      <c r="AZ4" s="48"/>
      <c r="BA4" s="49"/>
      <c r="BB4" s="46">
        <v>0</v>
      </c>
      <c r="BC4" s="47"/>
      <c r="BD4" s="47"/>
      <c r="BE4" s="48"/>
      <c r="BF4" s="49"/>
      <c r="BG4" s="46">
        <v>0</v>
      </c>
      <c r="BH4" s="47"/>
      <c r="BI4" s="47"/>
      <c r="BJ4" s="48"/>
      <c r="BK4" s="49"/>
      <c r="BL4" s="46">
        <v>0</v>
      </c>
      <c r="BM4" s="47"/>
      <c r="BN4" s="47"/>
      <c r="BO4" s="48"/>
      <c r="BP4" s="49"/>
      <c r="BQ4" s="46">
        <v>0</v>
      </c>
      <c r="BR4" s="47"/>
      <c r="BS4" s="47"/>
      <c r="BT4" s="48"/>
      <c r="BU4" s="49"/>
    </row>
    <row r="5" spans="1:73" ht="93.95" customHeight="1" x14ac:dyDescent="0.45">
      <c r="B5" s="88"/>
      <c r="C5" s="13" t="s">
        <v>15</v>
      </c>
      <c r="D5" s="50"/>
      <c r="E5" s="51"/>
      <c r="F5" s="51"/>
      <c r="G5" s="52"/>
      <c r="H5" s="53"/>
      <c r="I5" s="50"/>
      <c r="J5" s="51"/>
      <c r="K5" s="51"/>
      <c r="L5" s="52"/>
      <c r="M5" s="53"/>
      <c r="N5" s="50"/>
      <c r="O5" s="51"/>
      <c r="P5" s="51"/>
      <c r="Q5" s="52"/>
      <c r="R5" s="53"/>
      <c r="S5" s="50"/>
      <c r="T5" s="51"/>
      <c r="U5" s="51"/>
      <c r="V5" s="52"/>
      <c r="W5" s="53"/>
      <c r="X5" s="50"/>
      <c r="Y5" s="51"/>
      <c r="Z5" s="51"/>
      <c r="AA5" s="52"/>
      <c r="AB5" s="53"/>
      <c r="AC5" s="50"/>
      <c r="AD5" s="51"/>
      <c r="AE5" s="51"/>
      <c r="AF5" s="52"/>
      <c r="AG5" s="53"/>
      <c r="AH5" s="50"/>
      <c r="AI5" s="51"/>
      <c r="AJ5" s="51"/>
      <c r="AK5" s="52"/>
      <c r="AL5" s="53"/>
      <c r="AM5" s="50"/>
      <c r="AN5" s="51"/>
      <c r="AO5" s="51"/>
      <c r="AP5" s="52"/>
      <c r="AQ5" s="53"/>
      <c r="AR5" s="50"/>
      <c r="AS5" s="51"/>
      <c r="AT5" s="51"/>
      <c r="AU5" s="52"/>
      <c r="AV5" s="53"/>
      <c r="AW5" s="50"/>
      <c r="AX5" s="51"/>
      <c r="AY5" s="51"/>
      <c r="AZ5" s="52"/>
      <c r="BA5" s="53"/>
      <c r="BB5" s="50"/>
      <c r="BC5" s="51"/>
      <c r="BD5" s="51"/>
      <c r="BE5" s="52"/>
      <c r="BF5" s="53"/>
      <c r="BG5" s="50"/>
      <c r="BH5" s="51"/>
      <c r="BI5" s="51"/>
      <c r="BJ5" s="52"/>
      <c r="BK5" s="53"/>
      <c r="BL5" s="50"/>
      <c r="BM5" s="51"/>
      <c r="BN5" s="51"/>
      <c r="BO5" s="52"/>
      <c r="BP5" s="53"/>
      <c r="BQ5" s="50"/>
      <c r="BR5" s="51"/>
      <c r="BS5" s="51"/>
      <c r="BT5" s="52"/>
      <c r="BU5" s="53"/>
    </row>
    <row r="6" spans="1:73" ht="93.75" customHeight="1" x14ac:dyDescent="0.45">
      <c r="B6" s="88"/>
      <c r="C6" s="13" t="s">
        <v>5</v>
      </c>
      <c r="D6" s="50"/>
      <c r="E6" s="51" t="s">
        <v>41</v>
      </c>
      <c r="F6" s="51" t="s">
        <v>41</v>
      </c>
      <c r="G6" s="52"/>
      <c r="H6" s="54"/>
      <c r="I6" s="50"/>
      <c r="J6" s="51" t="s">
        <v>41</v>
      </c>
      <c r="K6" s="51" t="s">
        <v>41</v>
      </c>
      <c r="L6" s="52"/>
      <c r="M6" s="54"/>
      <c r="N6" s="50"/>
      <c r="O6" s="51" t="s">
        <v>41</v>
      </c>
      <c r="P6" s="51" t="s">
        <v>41</v>
      </c>
      <c r="Q6" s="52"/>
      <c r="R6" s="54"/>
      <c r="S6" s="50"/>
      <c r="T6" s="51" t="s">
        <v>41</v>
      </c>
      <c r="U6" s="51" t="s">
        <v>41</v>
      </c>
      <c r="V6" s="52"/>
      <c r="W6" s="54"/>
      <c r="X6" s="50"/>
      <c r="Y6" s="51" t="s">
        <v>41</v>
      </c>
      <c r="Z6" s="51" t="s">
        <v>41</v>
      </c>
      <c r="AA6" s="52"/>
      <c r="AB6" s="54"/>
      <c r="AC6" s="50"/>
      <c r="AD6" s="51" t="s">
        <v>41</v>
      </c>
      <c r="AE6" s="51" t="s">
        <v>41</v>
      </c>
      <c r="AF6" s="52"/>
      <c r="AG6" s="54"/>
      <c r="AH6" s="50"/>
      <c r="AI6" s="51" t="s">
        <v>41</v>
      </c>
      <c r="AJ6" s="51" t="s">
        <v>41</v>
      </c>
      <c r="AK6" s="52"/>
      <c r="AL6" s="54"/>
      <c r="AM6" s="50"/>
      <c r="AN6" s="51" t="s">
        <v>41</v>
      </c>
      <c r="AO6" s="51" t="s">
        <v>41</v>
      </c>
      <c r="AP6" s="52"/>
      <c r="AQ6" s="54"/>
      <c r="AR6" s="50"/>
      <c r="AS6" s="51" t="s">
        <v>41</v>
      </c>
      <c r="AT6" s="51" t="s">
        <v>41</v>
      </c>
      <c r="AU6" s="52"/>
      <c r="AV6" s="54"/>
      <c r="AW6" s="50"/>
      <c r="AX6" s="51" t="s">
        <v>41</v>
      </c>
      <c r="AY6" s="51" t="s">
        <v>41</v>
      </c>
      <c r="AZ6" s="52"/>
      <c r="BA6" s="54"/>
      <c r="BB6" s="50"/>
      <c r="BC6" s="51" t="s">
        <v>41</v>
      </c>
      <c r="BD6" s="51" t="s">
        <v>41</v>
      </c>
      <c r="BE6" s="52"/>
      <c r="BF6" s="54"/>
      <c r="BG6" s="50"/>
      <c r="BH6" s="51" t="s">
        <v>41</v>
      </c>
      <c r="BI6" s="51" t="s">
        <v>41</v>
      </c>
      <c r="BJ6" s="52"/>
      <c r="BK6" s="54"/>
      <c r="BL6" s="50"/>
      <c r="BM6" s="51" t="s">
        <v>41</v>
      </c>
      <c r="BN6" s="51" t="s">
        <v>41</v>
      </c>
      <c r="BO6" s="52"/>
      <c r="BP6" s="54"/>
      <c r="BQ6" s="50"/>
      <c r="BR6" s="51" t="s">
        <v>41</v>
      </c>
      <c r="BS6" s="51" t="s">
        <v>41</v>
      </c>
      <c r="BT6" s="52"/>
      <c r="BU6" s="54"/>
    </row>
    <row r="7" spans="1:73" ht="66.5" customHeight="1" x14ac:dyDescent="0.45">
      <c r="B7" s="88"/>
      <c r="C7" s="13" t="s">
        <v>7</v>
      </c>
      <c r="D7" s="50"/>
      <c r="E7" s="51"/>
      <c r="F7" s="55"/>
      <c r="G7" s="52"/>
      <c r="H7" s="53"/>
      <c r="I7" s="50"/>
      <c r="J7" s="51"/>
      <c r="K7" s="55"/>
      <c r="L7" s="52"/>
      <c r="M7" s="53"/>
      <c r="N7" s="50"/>
      <c r="O7" s="51"/>
      <c r="P7" s="55"/>
      <c r="Q7" s="52"/>
      <c r="R7" s="53"/>
      <c r="S7" s="50"/>
      <c r="T7" s="51"/>
      <c r="U7" s="55"/>
      <c r="V7" s="52"/>
      <c r="W7" s="53"/>
      <c r="X7" s="50"/>
      <c r="Y7" s="51"/>
      <c r="Z7" s="55"/>
      <c r="AA7" s="52"/>
      <c r="AB7" s="53"/>
      <c r="AC7" s="50"/>
      <c r="AD7" s="51"/>
      <c r="AE7" s="55"/>
      <c r="AF7" s="52"/>
      <c r="AG7" s="53"/>
      <c r="AH7" s="50"/>
      <c r="AI7" s="51"/>
      <c r="AJ7" s="55"/>
      <c r="AK7" s="52"/>
      <c r="AL7" s="53"/>
      <c r="AM7" s="50"/>
      <c r="AN7" s="51"/>
      <c r="AO7" s="55"/>
      <c r="AP7" s="52"/>
      <c r="AQ7" s="53"/>
      <c r="AR7" s="50"/>
      <c r="AS7" s="51"/>
      <c r="AT7" s="55"/>
      <c r="AU7" s="52"/>
      <c r="AV7" s="53"/>
      <c r="AW7" s="50"/>
      <c r="AX7" s="51"/>
      <c r="AY7" s="55"/>
      <c r="AZ7" s="52"/>
      <c r="BA7" s="53"/>
      <c r="BB7" s="50"/>
      <c r="BC7" s="51"/>
      <c r="BD7" s="55"/>
      <c r="BE7" s="52"/>
      <c r="BF7" s="53"/>
      <c r="BG7" s="50"/>
      <c r="BH7" s="51"/>
      <c r="BI7" s="55"/>
      <c r="BJ7" s="52"/>
      <c r="BK7" s="53"/>
      <c r="BL7" s="50"/>
      <c r="BM7" s="51"/>
      <c r="BN7" s="55"/>
      <c r="BO7" s="52"/>
      <c r="BP7" s="53"/>
      <c r="BQ7" s="50"/>
      <c r="BR7" s="51"/>
      <c r="BS7" s="55"/>
      <c r="BT7" s="52"/>
      <c r="BU7" s="53"/>
    </row>
    <row r="8" spans="1:73" ht="79.349999999999994" customHeight="1" x14ac:dyDescent="0.45">
      <c r="B8" s="88"/>
      <c r="C8" s="13" t="s">
        <v>8</v>
      </c>
      <c r="D8" s="50"/>
      <c r="E8" s="51" t="s">
        <v>42</v>
      </c>
      <c r="F8" s="51" t="s">
        <v>42</v>
      </c>
      <c r="G8" s="52"/>
      <c r="H8" s="53"/>
      <c r="I8" s="50"/>
      <c r="J8" s="51" t="s">
        <v>42</v>
      </c>
      <c r="K8" s="51" t="s">
        <v>42</v>
      </c>
      <c r="L8" s="52"/>
      <c r="M8" s="53"/>
      <c r="N8" s="50"/>
      <c r="O8" s="51" t="s">
        <v>42</v>
      </c>
      <c r="P8" s="51" t="s">
        <v>42</v>
      </c>
      <c r="Q8" s="52"/>
      <c r="R8" s="53"/>
      <c r="S8" s="50"/>
      <c r="T8" s="51" t="s">
        <v>42</v>
      </c>
      <c r="U8" s="51" t="s">
        <v>42</v>
      </c>
      <c r="V8" s="52"/>
      <c r="W8" s="53"/>
      <c r="X8" s="50"/>
      <c r="Y8" s="51" t="s">
        <v>42</v>
      </c>
      <c r="Z8" s="51" t="s">
        <v>42</v>
      </c>
      <c r="AA8" s="52"/>
      <c r="AB8" s="53"/>
      <c r="AC8" s="50"/>
      <c r="AD8" s="51" t="s">
        <v>42</v>
      </c>
      <c r="AE8" s="51" t="s">
        <v>42</v>
      </c>
      <c r="AF8" s="52"/>
      <c r="AG8" s="53"/>
      <c r="AH8" s="50"/>
      <c r="AI8" s="51" t="s">
        <v>42</v>
      </c>
      <c r="AJ8" s="51" t="s">
        <v>42</v>
      </c>
      <c r="AK8" s="52"/>
      <c r="AL8" s="53"/>
      <c r="AM8" s="50"/>
      <c r="AN8" s="51" t="s">
        <v>42</v>
      </c>
      <c r="AO8" s="51" t="s">
        <v>42</v>
      </c>
      <c r="AP8" s="52"/>
      <c r="AQ8" s="53"/>
      <c r="AR8" s="50"/>
      <c r="AS8" s="51" t="s">
        <v>42</v>
      </c>
      <c r="AT8" s="51" t="s">
        <v>42</v>
      </c>
      <c r="AU8" s="52"/>
      <c r="AV8" s="53"/>
      <c r="AW8" s="50"/>
      <c r="AX8" s="51" t="s">
        <v>42</v>
      </c>
      <c r="AY8" s="51" t="s">
        <v>42</v>
      </c>
      <c r="AZ8" s="52"/>
      <c r="BA8" s="53"/>
      <c r="BB8" s="50"/>
      <c r="BC8" s="51" t="s">
        <v>42</v>
      </c>
      <c r="BD8" s="51" t="s">
        <v>42</v>
      </c>
      <c r="BE8" s="52"/>
      <c r="BF8" s="53"/>
      <c r="BG8" s="50"/>
      <c r="BH8" s="51" t="s">
        <v>42</v>
      </c>
      <c r="BI8" s="51" t="s">
        <v>42</v>
      </c>
      <c r="BJ8" s="52"/>
      <c r="BK8" s="53"/>
      <c r="BL8" s="50"/>
      <c r="BM8" s="51" t="s">
        <v>42</v>
      </c>
      <c r="BN8" s="51" t="s">
        <v>42</v>
      </c>
      <c r="BO8" s="52"/>
      <c r="BP8" s="53"/>
      <c r="BQ8" s="50"/>
      <c r="BR8" s="51" t="s">
        <v>42</v>
      </c>
      <c r="BS8" s="51" t="s">
        <v>42</v>
      </c>
      <c r="BT8" s="52"/>
      <c r="BU8" s="53"/>
    </row>
    <row r="9" spans="1:73" ht="95.2" customHeight="1" x14ac:dyDescent="0.45">
      <c r="B9" s="88"/>
      <c r="C9" s="13" t="s">
        <v>6</v>
      </c>
      <c r="D9" s="50"/>
      <c r="E9" s="51" t="s">
        <v>43</v>
      </c>
      <c r="F9" s="51" t="s">
        <v>43</v>
      </c>
      <c r="G9" s="52"/>
      <c r="H9" s="53"/>
      <c r="I9" s="50"/>
      <c r="J9" s="51" t="s">
        <v>43</v>
      </c>
      <c r="K9" s="51" t="s">
        <v>43</v>
      </c>
      <c r="L9" s="52"/>
      <c r="M9" s="53"/>
      <c r="N9" s="50"/>
      <c r="O9" s="51" t="s">
        <v>43</v>
      </c>
      <c r="P9" s="51" t="s">
        <v>43</v>
      </c>
      <c r="Q9" s="52"/>
      <c r="R9" s="53"/>
      <c r="S9" s="50"/>
      <c r="T9" s="51" t="s">
        <v>43</v>
      </c>
      <c r="U9" s="51" t="s">
        <v>43</v>
      </c>
      <c r="V9" s="52"/>
      <c r="W9" s="53"/>
      <c r="X9" s="50"/>
      <c r="Y9" s="51" t="s">
        <v>43</v>
      </c>
      <c r="Z9" s="51" t="s">
        <v>43</v>
      </c>
      <c r="AA9" s="52"/>
      <c r="AB9" s="53"/>
      <c r="AC9" s="50"/>
      <c r="AD9" s="51" t="s">
        <v>43</v>
      </c>
      <c r="AE9" s="51" t="s">
        <v>43</v>
      </c>
      <c r="AF9" s="52"/>
      <c r="AG9" s="53"/>
      <c r="AH9" s="50"/>
      <c r="AI9" s="51" t="s">
        <v>43</v>
      </c>
      <c r="AJ9" s="51" t="s">
        <v>43</v>
      </c>
      <c r="AK9" s="52"/>
      <c r="AL9" s="53"/>
      <c r="AM9" s="50"/>
      <c r="AN9" s="51" t="s">
        <v>43</v>
      </c>
      <c r="AO9" s="51" t="s">
        <v>43</v>
      </c>
      <c r="AP9" s="52"/>
      <c r="AQ9" s="53"/>
      <c r="AR9" s="50"/>
      <c r="AS9" s="51" t="s">
        <v>43</v>
      </c>
      <c r="AT9" s="51" t="s">
        <v>43</v>
      </c>
      <c r="AU9" s="52"/>
      <c r="AV9" s="53"/>
      <c r="AW9" s="50"/>
      <c r="AX9" s="51" t="s">
        <v>43</v>
      </c>
      <c r="AY9" s="51" t="s">
        <v>43</v>
      </c>
      <c r="AZ9" s="52"/>
      <c r="BA9" s="53"/>
      <c r="BB9" s="50"/>
      <c r="BC9" s="51" t="s">
        <v>43</v>
      </c>
      <c r="BD9" s="51" t="s">
        <v>43</v>
      </c>
      <c r="BE9" s="52"/>
      <c r="BF9" s="53"/>
      <c r="BG9" s="50"/>
      <c r="BH9" s="51" t="s">
        <v>43</v>
      </c>
      <c r="BI9" s="51" t="s">
        <v>43</v>
      </c>
      <c r="BJ9" s="52"/>
      <c r="BK9" s="53"/>
      <c r="BL9" s="50"/>
      <c r="BM9" s="51" t="s">
        <v>43</v>
      </c>
      <c r="BN9" s="51" t="s">
        <v>43</v>
      </c>
      <c r="BO9" s="52"/>
      <c r="BP9" s="53"/>
      <c r="BQ9" s="50"/>
      <c r="BR9" s="51" t="s">
        <v>43</v>
      </c>
      <c r="BS9" s="51" t="s">
        <v>43</v>
      </c>
      <c r="BT9" s="52"/>
      <c r="BU9" s="53"/>
    </row>
    <row r="10" spans="1:73" ht="70.900000000000006" customHeight="1" x14ac:dyDescent="0.45">
      <c r="B10" s="89"/>
      <c r="C10" s="21" t="s">
        <v>9</v>
      </c>
      <c r="D10" s="56"/>
      <c r="E10" s="57"/>
      <c r="F10" s="57"/>
      <c r="G10" s="58"/>
      <c r="H10" s="59"/>
      <c r="I10" s="56"/>
      <c r="J10" s="57"/>
      <c r="K10" s="57"/>
      <c r="L10" s="58"/>
      <c r="M10" s="59"/>
      <c r="N10" s="56"/>
      <c r="O10" s="57"/>
      <c r="P10" s="57"/>
      <c r="Q10" s="58"/>
      <c r="R10" s="59"/>
      <c r="S10" s="56"/>
      <c r="T10" s="57"/>
      <c r="U10" s="57"/>
      <c r="V10" s="58"/>
      <c r="W10" s="59"/>
      <c r="X10" s="56"/>
      <c r="Y10" s="57"/>
      <c r="Z10" s="57"/>
      <c r="AA10" s="58"/>
      <c r="AB10" s="59"/>
      <c r="AC10" s="56"/>
      <c r="AD10" s="57"/>
      <c r="AE10" s="57"/>
      <c r="AF10" s="58"/>
      <c r="AG10" s="59"/>
      <c r="AH10" s="56"/>
      <c r="AI10" s="57"/>
      <c r="AJ10" s="57"/>
      <c r="AK10" s="58"/>
      <c r="AL10" s="59"/>
      <c r="AM10" s="56"/>
      <c r="AN10" s="57"/>
      <c r="AO10" s="57"/>
      <c r="AP10" s="58"/>
      <c r="AQ10" s="59"/>
      <c r="AR10" s="56"/>
      <c r="AS10" s="57"/>
      <c r="AT10" s="57"/>
      <c r="AU10" s="58"/>
      <c r="AV10" s="59"/>
      <c r="AW10" s="56"/>
      <c r="AX10" s="57"/>
      <c r="AY10" s="57"/>
      <c r="AZ10" s="58"/>
      <c r="BA10" s="59"/>
      <c r="BB10" s="56"/>
      <c r="BC10" s="57"/>
      <c r="BD10" s="57"/>
      <c r="BE10" s="58"/>
      <c r="BF10" s="59"/>
      <c r="BG10" s="56"/>
      <c r="BH10" s="57"/>
      <c r="BI10" s="57"/>
      <c r="BJ10" s="58"/>
      <c r="BK10" s="59"/>
      <c r="BL10" s="56"/>
      <c r="BM10" s="57"/>
      <c r="BN10" s="57"/>
      <c r="BO10" s="58"/>
      <c r="BP10" s="59"/>
      <c r="BQ10" s="56"/>
      <c r="BR10" s="57"/>
      <c r="BS10" s="57"/>
      <c r="BT10" s="58"/>
      <c r="BU10" s="59"/>
    </row>
    <row r="11" spans="1:73" ht="48" customHeight="1" x14ac:dyDescent="0.45">
      <c r="B11" s="86" t="s">
        <v>24</v>
      </c>
      <c r="C11" s="20" t="s">
        <v>4</v>
      </c>
      <c r="D11" s="46"/>
      <c r="E11" s="47"/>
      <c r="F11" s="47"/>
      <c r="G11" s="48"/>
      <c r="H11" s="49"/>
      <c r="I11" s="46"/>
      <c r="J11" s="47"/>
      <c r="K11" s="47"/>
      <c r="L11" s="48"/>
      <c r="M11" s="49"/>
      <c r="N11" s="46"/>
      <c r="O11" s="47"/>
      <c r="P11" s="47"/>
      <c r="Q11" s="48"/>
      <c r="R11" s="49"/>
      <c r="S11" s="46"/>
      <c r="T11" s="47"/>
      <c r="U11" s="47"/>
      <c r="V11" s="48"/>
      <c r="W11" s="49"/>
      <c r="X11" s="46"/>
      <c r="Y11" s="47"/>
      <c r="Z11" s="47"/>
      <c r="AA11" s="48"/>
      <c r="AB11" s="49"/>
      <c r="AC11" s="46"/>
      <c r="AD11" s="47"/>
      <c r="AE11" s="47"/>
      <c r="AF11" s="48"/>
      <c r="AG11" s="49"/>
      <c r="AH11" s="46"/>
      <c r="AI11" s="47"/>
      <c r="AJ11" s="47"/>
      <c r="AK11" s="48"/>
      <c r="AL11" s="49"/>
      <c r="AM11" s="46"/>
      <c r="AN11" s="47"/>
      <c r="AO11" s="47"/>
      <c r="AP11" s="48"/>
      <c r="AQ11" s="49"/>
      <c r="AR11" s="46"/>
      <c r="AS11" s="47"/>
      <c r="AT11" s="47"/>
      <c r="AU11" s="48"/>
      <c r="AV11" s="49"/>
      <c r="AW11" s="46"/>
      <c r="AX11" s="47"/>
      <c r="AY11" s="47"/>
      <c r="AZ11" s="48"/>
      <c r="BA11" s="49"/>
      <c r="BB11" s="46"/>
      <c r="BC11" s="47"/>
      <c r="BD11" s="47"/>
      <c r="BE11" s="48"/>
      <c r="BF11" s="49"/>
      <c r="BG11" s="46"/>
      <c r="BH11" s="47"/>
      <c r="BI11" s="47"/>
      <c r="BJ11" s="48"/>
      <c r="BK11" s="49"/>
      <c r="BL11" s="46"/>
      <c r="BM11" s="47"/>
      <c r="BN11" s="47"/>
      <c r="BO11" s="48"/>
      <c r="BP11" s="49"/>
      <c r="BQ11" s="46"/>
      <c r="BR11" s="47"/>
      <c r="BS11" s="47"/>
      <c r="BT11" s="48"/>
      <c r="BU11" s="49"/>
    </row>
    <row r="12" spans="1:73" ht="93.95" customHeight="1" x14ac:dyDescent="0.45">
      <c r="B12" s="82"/>
      <c r="C12" s="13" t="s">
        <v>14</v>
      </c>
      <c r="D12" s="50"/>
      <c r="E12" s="51"/>
      <c r="F12" s="51"/>
      <c r="G12" s="52"/>
      <c r="H12" s="53"/>
      <c r="I12" s="50"/>
      <c r="J12" s="51"/>
      <c r="K12" s="51"/>
      <c r="L12" s="52"/>
      <c r="M12" s="53"/>
      <c r="N12" s="50"/>
      <c r="O12" s="51"/>
      <c r="P12" s="51"/>
      <c r="Q12" s="52"/>
      <c r="R12" s="53"/>
      <c r="S12" s="50"/>
      <c r="T12" s="51"/>
      <c r="U12" s="51"/>
      <c r="V12" s="52"/>
      <c r="W12" s="53"/>
      <c r="X12" s="50"/>
      <c r="Y12" s="51"/>
      <c r="Z12" s="51"/>
      <c r="AA12" s="52"/>
      <c r="AB12" s="53"/>
      <c r="AC12" s="50"/>
      <c r="AD12" s="51"/>
      <c r="AE12" s="51"/>
      <c r="AF12" s="52"/>
      <c r="AG12" s="53"/>
      <c r="AH12" s="50"/>
      <c r="AI12" s="51"/>
      <c r="AJ12" s="51"/>
      <c r="AK12" s="52"/>
      <c r="AL12" s="53"/>
      <c r="AM12" s="50"/>
      <c r="AN12" s="51"/>
      <c r="AO12" s="51"/>
      <c r="AP12" s="52"/>
      <c r="AQ12" s="53"/>
      <c r="AR12" s="50"/>
      <c r="AS12" s="51"/>
      <c r="AT12" s="51"/>
      <c r="AU12" s="52"/>
      <c r="AV12" s="53"/>
      <c r="AW12" s="50"/>
      <c r="AX12" s="51"/>
      <c r="AY12" s="51"/>
      <c r="AZ12" s="52"/>
      <c r="BA12" s="53"/>
      <c r="BB12" s="50"/>
      <c r="BC12" s="51"/>
      <c r="BD12" s="51"/>
      <c r="BE12" s="52"/>
      <c r="BF12" s="53"/>
      <c r="BG12" s="50"/>
      <c r="BH12" s="51"/>
      <c r="BI12" s="51"/>
      <c r="BJ12" s="52"/>
      <c r="BK12" s="53"/>
      <c r="BL12" s="50"/>
      <c r="BM12" s="51"/>
      <c r="BN12" s="51"/>
      <c r="BO12" s="52"/>
      <c r="BP12" s="53"/>
      <c r="BQ12" s="50"/>
      <c r="BR12" s="51"/>
      <c r="BS12" s="51"/>
      <c r="BT12" s="52"/>
      <c r="BU12" s="53"/>
    </row>
    <row r="13" spans="1:73" ht="49.35" customHeight="1" x14ac:dyDescent="0.45">
      <c r="B13" s="88"/>
      <c r="C13" s="13" t="s">
        <v>5</v>
      </c>
      <c r="D13" s="50"/>
      <c r="E13" s="51"/>
      <c r="F13" s="51"/>
      <c r="G13" s="52"/>
      <c r="H13" s="54"/>
      <c r="I13" s="50"/>
      <c r="J13" s="51"/>
      <c r="K13" s="51"/>
      <c r="L13" s="52"/>
      <c r="M13" s="54"/>
      <c r="N13" s="50"/>
      <c r="O13" s="51"/>
      <c r="P13" s="51"/>
      <c r="Q13" s="52"/>
      <c r="R13" s="54"/>
      <c r="S13" s="50"/>
      <c r="T13" s="51"/>
      <c r="U13" s="51"/>
      <c r="V13" s="52"/>
      <c r="W13" s="54"/>
      <c r="X13" s="50"/>
      <c r="Y13" s="51"/>
      <c r="Z13" s="51"/>
      <c r="AA13" s="52"/>
      <c r="AB13" s="54"/>
      <c r="AC13" s="50"/>
      <c r="AD13" s="51"/>
      <c r="AE13" s="51"/>
      <c r="AF13" s="52"/>
      <c r="AG13" s="54"/>
      <c r="AH13" s="50"/>
      <c r="AI13" s="51"/>
      <c r="AJ13" s="51"/>
      <c r="AK13" s="52"/>
      <c r="AL13" s="54"/>
      <c r="AM13" s="50"/>
      <c r="AN13" s="51"/>
      <c r="AO13" s="51"/>
      <c r="AP13" s="52"/>
      <c r="AQ13" s="54"/>
      <c r="AR13" s="50"/>
      <c r="AS13" s="51"/>
      <c r="AT13" s="51"/>
      <c r="AU13" s="52"/>
      <c r="AV13" s="54"/>
      <c r="AW13" s="50"/>
      <c r="AX13" s="51"/>
      <c r="AY13" s="51"/>
      <c r="AZ13" s="52"/>
      <c r="BA13" s="54"/>
      <c r="BB13" s="50"/>
      <c r="BC13" s="51"/>
      <c r="BD13" s="51"/>
      <c r="BE13" s="52"/>
      <c r="BF13" s="54"/>
      <c r="BG13" s="50"/>
      <c r="BH13" s="51"/>
      <c r="BI13" s="51"/>
      <c r="BJ13" s="52"/>
      <c r="BK13" s="54"/>
      <c r="BL13" s="50"/>
      <c r="BM13" s="51"/>
      <c r="BN13" s="51"/>
      <c r="BO13" s="52"/>
      <c r="BP13" s="54"/>
      <c r="BQ13" s="50"/>
      <c r="BR13" s="51"/>
      <c r="BS13" s="51"/>
      <c r="BT13" s="52"/>
      <c r="BU13" s="54"/>
    </row>
    <row r="14" spans="1:73" ht="62.2" customHeight="1" x14ac:dyDescent="0.45">
      <c r="B14" s="88"/>
      <c r="C14" s="13" t="s">
        <v>7</v>
      </c>
      <c r="D14" s="50"/>
      <c r="E14" s="51"/>
      <c r="F14" s="51"/>
      <c r="G14" s="52"/>
      <c r="H14" s="54"/>
      <c r="I14" s="50"/>
      <c r="J14" s="51"/>
      <c r="K14" s="51"/>
      <c r="L14" s="52"/>
      <c r="M14" s="54"/>
      <c r="N14" s="50"/>
      <c r="O14" s="51"/>
      <c r="P14" s="51"/>
      <c r="Q14" s="52"/>
      <c r="R14" s="54"/>
      <c r="S14" s="50"/>
      <c r="T14" s="51"/>
      <c r="U14" s="51"/>
      <c r="V14" s="52"/>
      <c r="W14" s="54"/>
      <c r="X14" s="50"/>
      <c r="Y14" s="51"/>
      <c r="Z14" s="51"/>
      <c r="AA14" s="52"/>
      <c r="AB14" s="54"/>
      <c r="AC14" s="50"/>
      <c r="AD14" s="51"/>
      <c r="AE14" s="51"/>
      <c r="AF14" s="52"/>
      <c r="AG14" s="54"/>
      <c r="AH14" s="50"/>
      <c r="AI14" s="51"/>
      <c r="AJ14" s="51"/>
      <c r="AK14" s="52"/>
      <c r="AL14" s="54"/>
      <c r="AM14" s="50"/>
      <c r="AN14" s="51"/>
      <c r="AO14" s="51"/>
      <c r="AP14" s="52"/>
      <c r="AQ14" s="54"/>
      <c r="AR14" s="50"/>
      <c r="AS14" s="51"/>
      <c r="AT14" s="51"/>
      <c r="AU14" s="52"/>
      <c r="AV14" s="54"/>
      <c r="AW14" s="50"/>
      <c r="AX14" s="51"/>
      <c r="AY14" s="51"/>
      <c r="AZ14" s="52"/>
      <c r="BA14" s="54"/>
      <c r="BB14" s="50"/>
      <c r="BC14" s="51"/>
      <c r="BD14" s="51"/>
      <c r="BE14" s="52"/>
      <c r="BF14" s="54"/>
      <c r="BG14" s="50"/>
      <c r="BH14" s="51"/>
      <c r="BI14" s="51"/>
      <c r="BJ14" s="52"/>
      <c r="BK14" s="54"/>
      <c r="BL14" s="50"/>
      <c r="BM14" s="51"/>
      <c r="BN14" s="51"/>
      <c r="BO14" s="52"/>
      <c r="BP14" s="54"/>
      <c r="BQ14" s="50"/>
      <c r="BR14" s="51"/>
      <c r="BS14" s="51"/>
      <c r="BT14" s="52"/>
      <c r="BU14" s="54"/>
    </row>
    <row r="15" spans="1:73" ht="81" customHeight="1" x14ac:dyDescent="0.45">
      <c r="B15" s="88"/>
      <c r="C15" s="13" t="s">
        <v>8</v>
      </c>
      <c r="D15" s="50"/>
      <c r="E15" s="51"/>
      <c r="F15" s="51"/>
      <c r="G15" s="52"/>
      <c r="H15" s="54"/>
      <c r="I15" s="50"/>
      <c r="J15" s="51"/>
      <c r="K15" s="51"/>
      <c r="L15" s="52"/>
      <c r="M15" s="54"/>
      <c r="N15" s="50"/>
      <c r="O15" s="51"/>
      <c r="P15" s="51"/>
      <c r="Q15" s="52"/>
      <c r="R15" s="54"/>
      <c r="S15" s="50"/>
      <c r="T15" s="51"/>
      <c r="U15" s="51"/>
      <c r="V15" s="52"/>
      <c r="W15" s="54"/>
      <c r="X15" s="50"/>
      <c r="Y15" s="51"/>
      <c r="Z15" s="51"/>
      <c r="AA15" s="52"/>
      <c r="AB15" s="54"/>
      <c r="AC15" s="50"/>
      <c r="AD15" s="51"/>
      <c r="AE15" s="51"/>
      <c r="AF15" s="52"/>
      <c r="AG15" s="54"/>
      <c r="AH15" s="50"/>
      <c r="AI15" s="51"/>
      <c r="AJ15" s="51"/>
      <c r="AK15" s="52"/>
      <c r="AL15" s="54"/>
      <c r="AM15" s="50"/>
      <c r="AN15" s="51"/>
      <c r="AO15" s="51"/>
      <c r="AP15" s="52"/>
      <c r="AQ15" s="54"/>
      <c r="AR15" s="50"/>
      <c r="AS15" s="51"/>
      <c r="AT15" s="51"/>
      <c r="AU15" s="52"/>
      <c r="AV15" s="54"/>
      <c r="AW15" s="50"/>
      <c r="AX15" s="51"/>
      <c r="AY15" s="51"/>
      <c r="AZ15" s="52"/>
      <c r="BA15" s="54"/>
      <c r="BB15" s="50"/>
      <c r="BC15" s="51"/>
      <c r="BD15" s="51"/>
      <c r="BE15" s="52"/>
      <c r="BF15" s="54"/>
      <c r="BG15" s="50"/>
      <c r="BH15" s="51"/>
      <c r="BI15" s="51"/>
      <c r="BJ15" s="52"/>
      <c r="BK15" s="54"/>
      <c r="BL15" s="50"/>
      <c r="BM15" s="51"/>
      <c r="BN15" s="51"/>
      <c r="BO15" s="52"/>
      <c r="BP15" s="54"/>
      <c r="BQ15" s="50"/>
      <c r="BR15" s="51"/>
      <c r="BS15" s="51"/>
      <c r="BT15" s="52"/>
      <c r="BU15" s="54"/>
    </row>
    <row r="16" spans="1:73" ht="91.8" customHeight="1" x14ac:dyDescent="0.45">
      <c r="B16" s="88"/>
      <c r="C16" s="13" t="s">
        <v>6</v>
      </c>
      <c r="D16" s="50"/>
      <c r="E16" s="51"/>
      <c r="F16" s="51"/>
      <c r="G16" s="52"/>
      <c r="H16" s="54"/>
      <c r="I16" s="50"/>
      <c r="J16" s="51"/>
      <c r="K16" s="51"/>
      <c r="L16" s="52"/>
      <c r="M16" s="54"/>
      <c r="N16" s="50"/>
      <c r="O16" s="51"/>
      <c r="P16" s="51"/>
      <c r="Q16" s="52"/>
      <c r="R16" s="54"/>
      <c r="S16" s="50"/>
      <c r="T16" s="51"/>
      <c r="U16" s="51"/>
      <c r="V16" s="52"/>
      <c r="W16" s="54"/>
      <c r="X16" s="50"/>
      <c r="Y16" s="51"/>
      <c r="Z16" s="51"/>
      <c r="AA16" s="52"/>
      <c r="AB16" s="54"/>
      <c r="AC16" s="50"/>
      <c r="AD16" s="51"/>
      <c r="AE16" s="51"/>
      <c r="AF16" s="52"/>
      <c r="AG16" s="54"/>
      <c r="AH16" s="50"/>
      <c r="AI16" s="51"/>
      <c r="AJ16" s="51"/>
      <c r="AK16" s="52"/>
      <c r="AL16" s="54"/>
      <c r="AM16" s="50"/>
      <c r="AN16" s="51"/>
      <c r="AO16" s="51"/>
      <c r="AP16" s="52"/>
      <c r="AQ16" s="54"/>
      <c r="AR16" s="50"/>
      <c r="AS16" s="51"/>
      <c r="AT16" s="51"/>
      <c r="AU16" s="52"/>
      <c r="AV16" s="54"/>
      <c r="AW16" s="50"/>
      <c r="AX16" s="51"/>
      <c r="AY16" s="51"/>
      <c r="AZ16" s="52"/>
      <c r="BA16" s="54"/>
      <c r="BB16" s="50"/>
      <c r="BC16" s="51"/>
      <c r="BD16" s="51"/>
      <c r="BE16" s="52"/>
      <c r="BF16" s="54"/>
      <c r="BG16" s="50"/>
      <c r="BH16" s="51"/>
      <c r="BI16" s="51"/>
      <c r="BJ16" s="52"/>
      <c r="BK16" s="54"/>
      <c r="BL16" s="50"/>
      <c r="BM16" s="51"/>
      <c r="BN16" s="51"/>
      <c r="BO16" s="52"/>
      <c r="BP16" s="54"/>
      <c r="BQ16" s="50"/>
      <c r="BR16" s="51"/>
      <c r="BS16" s="51"/>
      <c r="BT16" s="52"/>
      <c r="BU16" s="54"/>
    </row>
    <row r="17" spans="1:73" ht="31.35" customHeight="1" x14ac:dyDescent="0.45">
      <c r="B17" s="89"/>
      <c r="C17" s="21" t="s">
        <v>9</v>
      </c>
      <c r="D17" s="56"/>
      <c r="E17" s="57"/>
      <c r="F17" s="57"/>
      <c r="G17" s="58"/>
      <c r="H17" s="60"/>
      <c r="I17" s="56"/>
      <c r="J17" s="57"/>
      <c r="K17" s="57"/>
      <c r="L17" s="58"/>
      <c r="M17" s="60"/>
      <c r="N17" s="56"/>
      <c r="O17" s="57"/>
      <c r="P17" s="57"/>
      <c r="Q17" s="58"/>
      <c r="R17" s="60"/>
      <c r="S17" s="56"/>
      <c r="T17" s="57"/>
      <c r="U17" s="57"/>
      <c r="V17" s="58"/>
      <c r="W17" s="60"/>
      <c r="X17" s="56"/>
      <c r="Y17" s="57"/>
      <c r="Z17" s="57"/>
      <c r="AA17" s="58"/>
      <c r="AB17" s="60"/>
      <c r="AC17" s="56"/>
      <c r="AD17" s="57"/>
      <c r="AE17" s="57"/>
      <c r="AF17" s="58"/>
      <c r="AG17" s="60"/>
      <c r="AH17" s="56"/>
      <c r="AI17" s="57"/>
      <c r="AJ17" s="57"/>
      <c r="AK17" s="58"/>
      <c r="AL17" s="60"/>
      <c r="AM17" s="56"/>
      <c r="AN17" s="57"/>
      <c r="AO17" s="57"/>
      <c r="AP17" s="58"/>
      <c r="AQ17" s="60"/>
      <c r="AR17" s="56"/>
      <c r="AS17" s="57"/>
      <c r="AT17" s="57"/>
      <c r="AU17" s="58"/>
      <c r="AV17" s="60"/>
      <c r="AW17" s="56"/>
      <c r="AX17" s="57"/>
      <c r="AY17" s="57"/>
      <c r="AZ17" s="58"/>
      <c r="BA17" s="60"/>
      <c r="BB17" s="56"/>
      <c r="BC17" s="57"/>
      <c r="BD17" s="57"/>
      <c r="BE17" s="58"/>
      <c r="BF17" s="60"/>
      <c r="BG17" s="56"/>
      <c r="BH17" s="57"/>
      <c r="BI17" s="57"/>
      <c r="BJ17" s="58"/>
      <c r="BK17" s="60"/>
      <c r="BL17" s="56"/>
      <c r="BM17" s="57"/>
      <c r="BN17" s="57"/>
      <c r="BO17" s="58"/>
      <c r="BP17" s="60"/>
      <c r="BQ17" s="56"/>
      <c r="BR17" s="57"/>
      <c r="BS17" s="57"/>
      <c r="BT17" s="58"/>
      <c r="BU17" s="60"/>
    </row>
    <row r="18" spans="1:73" ht="30.75" x14ac:dyDescent="0.45">
      <c r="B18" s="81" t="s">
        <v>46</v>
      </c>
      <c r="C18" s="68" t="s">
        <v>45</v>
      </c>
      <c r="D18" s="69"/>
      <c r="E18" s="70"/>
      <c r="F18" s="73"/>
      <c r="G18" s="71"/>
      <c r="H18" s="74"/>
      <c r="I18" s="69"/>
      <c r="J18" s="70"/>
      <c r="K18" s="73"/>
      <c r="L18" s="71"/>
      <c r="M18" s="74"/>
      <c r="N18" s="69"/>
      <c r="O18" s="70"/>
      <c r="P18" s="73"/>
      <c r="Q18" s="71"/>
      <c r="R18" s="74"/>
      <c r="S18" s="69"/>
      <c r="T18" s="70"/>
      <c r="U18" s="73"/>
      <c r="V18" s="71"/>
      <c r="W18" s="74"/>
      <c r="X18" s="69"/>
      <c r="Y18" s="70"/>
      <c r="Z18" s="73"/>
      <c r="AA18" s="71"/>
      <c r="AB18" s="74"/>
      <c r="AC18" s="69"/>
      <c r="AD18" s="70"/>
      <c r="AE18" s="73"/>
      <c r="AF18" s="71"/>
      <c r="AG18" s="74"/>
      <c r="AH18" s="69"/>
      <c r="AI18" s="70"/>
      <c r="AJ18" s="73"/>
      <c r="AK18" s="71"/>
      <c r="AL18" s="74"/>
      <c r="AM18" s="69"/>
      <c r="AN18" s="70"/>
      <c r="AO18" s="73"/>
      <c r="AP18" s="71"/>
      <c r="AQ18" s="74"/>
      <c r="AR18" s="69"/>
      <c r="AS18" s="70"/>
      <c r="AT18" s="73"/>
      <c r="AU18" s="71"/>
      <c r="AV18" s="74"/>
      <c r="AW18" s="69"/>
      <c r="AX18" s="70"/>
      <c r="AY18" s="73"/>
      <c r="AZ18" s="71"/>
      <c r="BA18" s="74"/>
      <c r="BB18" s="69"/>
      <c r="BC18" s="70"/>
      <c r="BD18" s="73"/>
      <c r="BE18" s="71"/>
      <c r="BF18" s="74"/>
      <c r="BG18" s="69"/>
      <c r="BH18" s="70"/>
      <c r="BI18" s="73"/>
      <c r="BJ18" s="71"/>
      <c r="BK18" s="74"/>
      <c r="BL18" s="69"/>
      <c r="BM18" s="70"/>
      <c r="BN18" s="73"/>
      <c r="BO18" s="71"/>
      <c r="BP18" s="74"/>
      <c r="BQ18" s="69"/>
      <c r="BR18" s="70"/>
      <c r="BS18" s="73"/>
      <c r="BT18" s="71"/>
      <c r="BU18" s="74"/>
    </row>
    <row r="19" spans="1:73" ht="61.5" x14ac:dyDescent="0.45">
      <c r="B19" s="82"/>
      <c r="C19" s="19" t="s">
        <v>44</v>
      </c>
      <c r="D19" s="61"/>
      <c r="E19" s="62"/>
      <c r="F19" s="75"/>
      <c r="G19" s="63"/>
      <c r="H19" s="76"/>
      <c r="I19" s="61"/>
      <c r="J19" s="62"/>
      <c r="K19" s="75"/>
      <c r="L19" s="63"/>
      <c r="M19" s="76"/>
      <c r="N19" s="61"/>
      <c r="O19" s="62"/>
      <c r="P19" s="75"/>
      <c r="Q19" s="63"/>
      <c r="R19" s="76"/>
      <c r="S19" s="61"/>
      <c r="T19" s="62"/>
      <c r="U19" s="75"/>
      <c r="V19" s="63"/>
      <c r="W19" s="76"/>
      <c r="X19" s="61"/>
      <c r="Y19" s="62"/>
      <c r="Z19" s="75"/>
      <c r="AA19" s="63"/>
      <c r="AB19" s="76"/>
      <c r="AC19" s="61"/>
      <c r="AD19" s="62"/>
      <c r="AE19" s="75"/>
      <c r="AF19" s="63"/>
      <c r="AG19" s="76"/>
      <c r="AH19" s="61"/>
      <c r="AI19" s="62"/>
      <c r="AJ19" s="75"/>
      <c r="AK19" s="63"/>
      <c r="AL19" s="76"/>
      <c r="AM19" s="61"/>
      <c r="AN19" s="62"/>
      <c r="AO19" s="75"/>
      <c r="AP19" s="63"/>
      <c r="AQ19" s="76"/>
      <c r="AR19" s="61"/>
      <c r="AS19" s="62"/>
      <c r="AT19" s="75"/>
      <c r="AU19" s="63"/>
      <c r="AV19" s="76"/>
      <c r="AW19" s="61"/>
      <c r="AX19" s="62"/>
      <c r="AY19" s="75"/>
      <c r="AZ19" s="63"/>
      <c r="BA19" s="76"/>
      <c r="BB19" s="61"/>
      <c r="BC19" s="62"/>
      <c r="BD19" s="75"/>
      <c r="BE19" s="63"/>
      <c r="BF19" s="76"/>
      <c r="BG19" s="61"/>
      <c r="BH19" s="62"/>
      <c r="BI19" s="75"/>
      <c r="BJ19" s="63"/>
      <c r="BK19" s="76"/>
      <c r="BL19" s="61"/>
      <c r="BM19" s="62"/>
      <c r="BN19" s="75"/>
      <c r="BO19" s="63"/>
      <c r="BP19" s="76"/>
      <c r="BQ19" s="61"/>
      <c r="BR19" s="62"/>
      <c r="BS19" s="75"/>
      <c r="BT19" s="63"/>
      <c r="BU19" s="76"/>
    </row>
    <row r="20" spans="1:73" x14ac:dyDescent="0.45">
      <c r="B20" s="72"/>
      <c r="C20" s="64"/>
      <c r="D20" s="77"/>
      <c r="E20" s="65"/>
      <c r="F20" s="65"/>
      <c r="G20" s="66"/>
      <c r="H20" s="67"/>
      <c r="I20" s="77"/>
      <c r="J20" s="65"/>
      <c r="K20" s="65"/>
      <c r="L20" s="66"/>
      <c r="M20" s="67"/>
      <c r="N20" s="77"/>
      <c r="O20" s="65"/>
      <c r="P20" s="65"/>
      <c r="Q20" s="66"/>
      <c r="R20" s="67"/>
      <c r="S20" s="77"/>
      <c r="T20" s="65"/>
      <c r="U20" s="65"/>
      <c r="V20" s="66"/>
      <c r="W20" s="67"/>
      <c r="X20" s="77"/>
      <c r="Y20" s="65"/>
      <c r="Z20" s="65"/>
      <c r="AA20" s="66"/>
      <c r="AB20" s="67"/>
      <c r="AC20" s="77"/>
      <c r="AD20" s="65"/>
      <c r="AE20" s="65"/>
      <c r="AF20" s="66"/>
      <c r="AG20" s="67"/>
      <c r="AH20" s="77"/>
      <c r="AI20" s="65"/>
      <c r="AJ20" s="65"/>
      <c r="AK20" s="66"/>
      <c r="AL20" s="67"/>
      <c r="AM20" s="77"/>
      <c r="AN20" s="65"/>
      <c r="AO20" s="65"/>
      <c r="AP20" s="66"/>
      <c r="AQ20" s="67"/>
      <c r="AR20" s="77"/>
      <c r="AS20" s="65"/>
      <c r="AT20" s="65"/>
      <c r="AU20" s="66"/>
      <c r="AV20" s="67"/>
      <c r="AW20" s="77"/>
      <c r="AX20" s="65"/>
      <c r="AY20" s="65"/>
      <c r="AZ20" s="66"/>
      <c r="BA20" s="67"/>
      <c r="BB20" s="77"/>
      <c r="BC20" s="65"/>
      <c r="BD20" s="65"/>
      <c r="BE20" s="66"/>
      <c r="BF20" s="67"/>
      <c r="BG20" s="77"/>
      <c r="BH20" s="65"/>
      <c r="BI20" s="65"/>
      <c r="BJ20" s="66"/>
      <c r="BK20" s="67"/>
      <c r="BL20" s="77"/>
      <c r="BM20" s="65"/>
      <c r="BN20" s="65"/>
      <c r="BO20" s="66"/>
      <c r="BP20" s="67"/>
      <c r="BQ20" s="77"/>
      <c r="BR20" s="65"/>
      <c r="BS20" s="65"/>
      <c r="BT20" s="66"/>
      <c r="BU20" s="67"/>
    </row>
    <row r="21" spans="1:73" s="3" customFormat="1" x14ac:dyDescent="0.45">
      <c r="A21" s="2"/>
      <c r="B21" s="83" t="s">
        <v>1</v>
      </c>
      <c r="C21" s="83"/>
      <c r="D21" s="93">
        <f>AVERAGE(D4:D20)</f>
        <v>0</v>
      </c>
      <c r="E21" s="93"/>
      <c r="F21" s="93"/>
      <c r="G21" s="93"/>
      <c r="H21" s="94"/>
      <c r="I21" s="93">
        <f>AVERAGE(I4:I20)</f>
        <v>0</v>
      </c>
      <c r="J21" s="93"/>
      <c r="K21" s="93"/>
      <c r="L21" s="93"/>
      <c r="M21" s="94"/>
      <c r="N21" s="93">
        <f>AVERAGE(N4:N20)</f>
        <v>0</v>
      </c>
      <c r="O21" s="93"/>
      <c r="P21" s="93"/>
      <c r="Q21" s="93"/>
      <c r="R21" s="94"/>
      <c r="S21" s="93">
        <f>AVERAGE(S4:S20)</f>
        <v>0</v>
      </c>
      <c r="T21" s="93"/>
      <c r="U21" s="93"/>
      <c r="V21" s="93"/>
      <c r="W21" s="94"/>
      <c r="X21" s="93">
        <f>AVERAGE(X4:X20)</f>
        <v>0</v>
      </c>
      <c r="Y21" s="93"/>
      <c r="Z21" s="93"/>
      <c r="AA21" s="93"/>
      <c r="AB21" s="94"/>
      <c r="AC21" s="93">
        <f>AVERAGE(AC4:AC20)</f>
        <v>0</v>
      </c>
      <c r="AD21" s="93"/>
      <c r="AE21" s="93"/>
      <c r="AF21" s="93"/>
      <c r="AG21" s="94"/>
      <c r="AH21" s="93">
        <f>AVERAGE(AH4:AH20)</f>
        <v>0</v>
      </c>
      <c r="AI21" s="93"/>
      <c r="AJ21" s="93"/>
      <c r="AK21" s="93"/>
      <c r="AL21" s="94"/>
      <c r="AM21" s="93">
        <f>AVERAGE(AM4:AM20)</f>
        <v>0</v>
      </c>
      <c r="AN21" s="93"/>
      <c r="AO21" s="93"/>
      <c r="AP21" s="93"/>
      <c r="AQ21" s="94"/>
      <c r="AR21" s="93">
        <f>AVERAGE(AR4:AR20)</f>
        <v>0</v>
      </c>
      <c r="AS21" s="93"/>
      <c r="AT21" s="93"/>
      <c r="AU21" s="93"/>
      <c r="AV21" s="94"/>
      <c r="AW21" s="93">
        <f>AVERAGE(AW4:AW20)</f>
        <v>0</v>
      </c>
      <c r="AX21" s="93"/>
      <c r="AY21" s="93"/>
      <c r="AZ21" s="93"/>
      <c r="BA21" s="94"/>
      <c r="BB21" s="93">
        <f>AVERAGE(BB4:BB20)</f>
        <v>0</v>
      </c>
      <c r="BC21" s="93"/>
      <c r="BD21" s="93"/>
      <c r="BE21" s="93"/>
      <c r="BF21" s="94"/>
      <c r="BG21" s="93">
        <f>AVERAGE(BG4:BG20)</f>
        <v>0</v>
      </c>
      <c r="BH21" s="93"/>
      <c r="BI21" s="93"/>
      <c r="BJ21" s="93"/>
      <c r="BK21" s="94"/>
      <c r="BL21" s="93">
        <f>AVERAGE(BL4:BL20)</f>
        <v>0</v>
      </c>
      <c r="BM21" s="93"/>
      <c r="BN21" s="93"/>
      <c r="BO21" s="93"/>
      <c r="BP21" s="94"/>
      <c r="BQ21" s="93">
        <f>AVERAGE(BQ4:BQ20)</f>
        <v>0</v>
      </c>
      <c r="BR21" s="93"/>
      <c r="BS21" s="93"/>
      <c r="BT21" s="93"/>
      <c r="BU21" s="94"/>
    </row>
    <row r="22" spans="1:73" s="9" customFormat="1" x14ac:dyDescent="0.45"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</row>
    <row r="23" spans="1:73" s="9" customFormat="1" x14ac:dyDescent="0.45"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</row>
    <row r="24" spans="1:73" s="9" customFormat="1" x14ac:dyDescent="0.45">
      <c r="C24" s="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</row>
    <row r="25" spans="1:73" s="9" customFormat="1" x14ac:dyDescent="0.45"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</row>
    <row r="26" spans="1:73" s="9" customFormat="1" x14ac:dyDescent="0.45"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</row>
    <row r="27" spans="1:73" s="9" customFormat="1" x14ac:dyDescent="0.45"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</row>
    <row r="28" spans="1:73" s="9" customFormat="1" x14ac:dyDescent="0.45"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</row>
    <row r="29" spans="1:73" s="9" customFormat="1" x14ac:dyDescent="0.45"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</row>
    <row r="30" spans="1:73" s="9" customFormat="1" x14ac:dyDescent="0.45"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</row>
    <row r="31" spans="1:73" s="9" customFormat="1" x14ac:dyDescent="0.45"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</row>
    <row r="32" spans="1:73" s="9" customFormat="1" x14ac:dyDescent="0.45"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</row>
    <row r="33" spans="3:73" s="9" customFormat="1" x14ac:dyDescent="0.45"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</row>
    <row r="34" spans="3:73" s="9" customFormat="1" x14ac:dyDescent="0.45"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</row>
    <row r="35" spans="3:73" s="9" customFormat="1" x14ac:dyDescent="0.45"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</row>
    <row r="36" spans="3:73" s="9" customFormat="1" x14ac:dyDescent="0.45"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</row>
    <row r="37" spans="3:73" s="9" customFormat="1" x14ac:dyDescent="0.45"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</row>
    <row r="38" spans="3:73" s="9" customFormat="1" x14ac:dyDescent="0.45"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</row>
    <row r="39" spans="3:73" s="9" customFormat="1" x14ac:dyDescent="0.45"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</row>
    <row r="40" spans="3:73" s="9" customFormat="1" x14ac:dyDescent="0.45">
      <c r="C40" s="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</row>
    <row r="41" spans="3:73" s="9" customFormat="1" x14ac:dyDescent="0.45"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</row>
    <row r="42" spans="3:73" s="9" customFormat="1" x14ac:dyDescent="0.45"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</row>
    <row r="43" spans="3:73" s="9" customFormat="1" x14ac:dyDescent="0.45"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</row>
    <row r="44" spans="3:73" s="9" customFormat="1" x14ac:dyDescent="0.45"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</row>
    <row r="45" spans="3:73" s="9" customFormat="1" x14ac:dyDescent="0.45"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</row>
    <row r="46" spans="3:73" s="9" customFormat="1" x14ac:dyDescent="0.45"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</row>
    <row r="47" spans="3:73" s="9" customFormat="1" x14ac:dyDescent="0.45"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</row>
    <row r="48" spans="3:73" s="9" customFormat="1" x14ac:dyDescent="0.45"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</row>
    <row r="49" spans="3:73" s="9" customFormat="1" x14ac:dyDescent="0.45"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</row>
    <row r="50" spans="3:73" s="9" customFormat="1" x14ac:dyDescent="0.45">
      <c r="C50" s="8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</row>
    <row r="51" spans="3:73" s="9" customFormat="1" x14ac:dyDescent="0.45">
      <c r="C51" s="8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</row>
    <row r="52" spans="3:73" s="9" customFormat="1" x14ac:dyDescent="0.45">
      <c r="C52" s="8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</row>
    <row r="53" spans="3:73" s="9" customFormat="1" x14ac:dyDescent="0.45">
      <c r="C53" s="8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</row>
    <row r="54" spans="3:73" s="9" customFormat="1" x14ac:dyDescent="0.45">
      <c r="C54" s="8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</row>
    <row r="55" spans="3:73" s="9" customFormat="1" x14ac:dyDescent="0.45">
      <c r="C55" s="8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</row>
    <row r="56" spans="3:73" s="9" customFormat="1" x14ac:dyDescent="0.45">
      <c r="C56" s="8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</row>
    <row r="57" spans="3:73" s="9" customFormat="1" x14ac:dyDescent="0.45"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</row>
  </sheetData>
  <mergeCells count="34">
    <mergeCell ref="AH21:AL21"/>
    <mergeCell ref="BL21:BP21"/>
    <mergeCell ref="AM21:AQ21"/>
    <mergeCell ref="AR21:AV21"/>
    <mergeCell ref="AW21:BA21"/>
    <mergeCell ref="BB21:BF21"/>
    <mergeCell ref="BG21:BK21"/>
    <mergeCell ref="N2:R2"/>
    <mergeCell ref="N21:R21"/>
    <mergeCell ref="S21:W21"/>
    <mergeCell ref="X21:AB21"/>
    <mergeCell ref="AC21:AG21"/>
    <mergeCell ref="BQ2:BU2"/>
    <mergeCell ref="BQ21:BU21"/>
    <mergeCell ref="D2:H2"/>
    <mergeCell ref="D21:H21"/>
    <mergeCell ref="I21:M21"/>
    <mergeCell ref="BG2:BK2"/>
    <mergeCell ref="BL2:BP2"/>
    <mergeCell ref="BB2:BF2"/>
    <mergeCell ref="AW2:BA2"/>
    <mergeCell ref="AR2:AV2"/>
    <mergeCell ref="AM2:AQ2"/>
    <mergeCell ref="X2:AB2"/>
    <mergeCell ref="I2:M2"/>
    <mergeCell ref="AH2:AL2"/>
    <mergeCell ref="AC2:AG2"/>
    <mergeCell ref="S2:W2"/>
    <mergeCell ref="B18:B19"/>
    <mergeCell ref="B21:C21"/>
    <mergeCell ref="C2:C3"/>
    <mergeCell ref="B2:B3"/>
    <mergeCell ref="B4:B10"/>
    <mergeCell ref="B11:B17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1F1A-D7A2-4CC4-A356-D653CA73AD44}">
  <dimension ref="B2:C5"/>
  <sheetViews>
    <sheetView showGridLines="0" zoomScale="130" zoomScaleNormal="130" workbookViewId="0">
      <selection activeCell="C5" sqref="C5"/>
    </sheetView>
  </sheetViews>
  <sheetFormatPr defaultColWidth="9.1328125" defaultRowHeight="16.5" x14ac:dyDescent="0.6"/>
  <cols>
    <col min="1" max="1" width="2.6640625" style="1" customWidth="1"/>
    <col min="2" max="2" width="27.53125" style="1" customWidth="1"/>
    <col min="3" max="3" width="11.33203125" style="1" customWidth="1"/>
    <col min="4" max="16384" width="9.1328125" style="1"/>
  </cols>
  <sheetData>
    <row r="2" spans="2:3" x14ac:dyDescent="0.6">
      <c r="B2" s="25" t="s">
        <v>16</v>
      </c>
      <c r="C2" s="22">
        <v>20</v>
      </c>
    </row>
    <row r="3" spans="2:3" x14ac:dyDescent="0.6">
      <c r="B3" s="26" t="s">
        <v>11</v>
      </c>
      <c r="C3" s="23">
        <v>17.5</v>
      </c>
    </row>
    <row r="4" spans="2:3" x14ac:dyDescent="0.6">
      <c r="B4" s="26" t="s">
        <v>17</v>
      </c>
      <c r="C4" s="23">
        <v>20</v>
      </c>
    </row>
    <row r="5" spans="2:3" x14ac:dyDescent="0.6">
      <c r="B5" s="27" t="s">
        <v>18</v>
      </c>
      <c r="C5" s="24">
        <f>ABS(1-(C2/C3))*100</f>
        <v>14.285714285714279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Calificacion</vt:lpstr>
      <vt:lpstr>Detalle</vt:lpstr>
      <vt:lpstr>CumpleTolerancia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2024-08-11T16:31:24Z</cp:lastPrinted>
  <dcterms:created xsi:type="dcterms:W3CDTF">2018-11-28T14:19:17Z</dcterms:created>
  <dcterms:modified xsi:type="dcterms:W3CDTF">2025-08-05T15:46:51Z</dcterms:modified>
</cp:coreProperties>
</file>