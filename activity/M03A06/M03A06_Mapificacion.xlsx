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3A06\"/>
    </mc:Choice>
  </mc:AlternateContent>
  <xr:revisionPtr revIDLastSave="0" documentId="13_ncr:1_{6FDA99E2-30C3-4B72-93DD-CE29664E01C9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Detalle!$B$1:$E$9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9" i="10"/>
  <c r="D18" i="12" s="1"/>
  <c r="F18" i="12" s="1"/>
  <c r="AM9" i="10"/>
  <c r="D17" i="12" s="1"/>
  <c r="F17" i="12" s="1"/>
  <c r="AJ9" i="10"/>
  <c r="D16" i="12" s="1"/>
  <c r="F16" i="12" s="1"/>
  <c r="AG9" i="10"/>
  <c r="D15" i="12" s="1"/>
  <c r="F15" i="12" s="1"/>
  <c r="AD9" i="10"/>
  <c r="D14" i="12" s="1"/>
  <c r="F14" i="12" s="1"/>
  <c r="AA9" i="10"/>
  <c r="D13" i="12" s="1"/>
  <c r="F13" i="12" s="1"/>
  <c r="X9" i="10"/>
  <c r="U9" i="10"/>
  <c r="R9" i="10"/>
  <c r="O9" i="10"/>
  <c r="D9" i="12" s="1"/>
  <c r="F9" i="12" s="1"/>
  <c r="L9" i="10"/>
  <c r="I9" i="10"/>
  <c r="F9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C9" i="10" l="1"/>
  <c r="D5" i="12" s="1"/>
  <c r="F5" i="12" s="1"/>
  <c r="D12" i="12" l="1"/>
  <c r="F12" i="12" s="1"/>
  <c r="D11" i="12"/>
  <c r="F11" i="12" s="1"/>
  <c r="D10" i="12"/>
  <c r="F10" i="12" s="1"/>
  <c r="D8" i="12"/>
  <c r="F8" i="12" s="1"/>
  <c r="D7" i="12"/>
  <c r="F7" i="12" s="1"/>
  <c r="D6" i="12"/>
  <c r="F6" i="12" s="1"/>
</calcChain>
</file>

<file path=xl/sharedStrings.xml><?xml version="1.0" encoding="utf-8"?>
<sst xmlns="http://schemas.openxmlformats.org/spreadsheetml/2006/main" count="69" uniqueCount="29">
  <si>
    <t>Observaciones</t>
  </si>
  <si>
    <t>Calificación</t>
  </si>
  <si>
    <t>Código</t>
  </si>
  <si>
    <t>Requerimiento</t>
  </si>
  <si>
    <t>Cumple</t>
  </si>
  <si>
    <t>Flujo permanente: para cada periodo de retorno (como mínimo 2.33, 25 y 100 años), realizar la mapificación de cada variable en RAS Mapper (profundidad, velocidad y cortante); analizar los resultados obtenidos indicando en que zonas se cumple o no con las condiciones de diseño establecidas y representar el mapa de trazas de flujo con flechas direccionales.</t>
  </si>
  <si>
    <t>Flujo no permanente: para cada periodo de retorno (como mínimo 2.33, 25 y 100 años), realizar la mapificación de cada variable en RAS Mapper (profundidad, velocidad y cortante); analizar los resultados obtenidos indicando en que zonas se cumple o no con las condiciones de diseño establecidas y representar el mapa de trazas de flujo con flechas direccionales.</t>
  </si>
  <si>
    <t>Calificar sobre</t>
  </si>
  <si>
    <t>Calificación final</t>
  </si>
  <si>
    <t>Calificación Instructor</t>
  </si>
  <si>
    <t>Grupo 1</t>
  </si>
  <si>
    <t>Grupo 2</t>
  </si>
  <si>
    <t>Grupo 3</t>
  </si>
  <si>
    <t>Grupo 4</t>
  </si>
  <si>
    <t>Grupo 5</t>
  </si>
  <si>
    <t>Autocalificación Alumno</t>
  </si>
  <si>
    <t>Calificación: 3.6. Mapificación de resultados de modelación 1D en RAS Mapper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</si>
  <si>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</si>
  <si>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</si>
  <si>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</si>
  <si>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</si>
  <si>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</si>
  <si>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</si>
  <si>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</si>
  <si>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</si>
  <si>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</si>
  <si>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M03A06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</si>
  <si>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</si>
  <si>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Luego de realizada la mapificación en RAS Mapper, comprimir el modelo hidráulico como HECRAS_v1_aaaammdd.zip.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</si>
</sst>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sz val="8"/>
      <name val="Segoe UI Light"/>
      <family val="2"/>
    </font>
    <font>
      <sz val="11"/>
      <color theme="1"/>
      <name val="Segoe UI Light"/>
      <family val="2"/>
    </font>
    <font>
      <sz val="8"/>
      <name val="Calibri"/>
      <family val="2"/>
      <scheme val="minor"/>
    </font>
    <font>
      <sz val="10"/>
      <color rgb="FF0070C0"/>
      <name val="Segoe UI Light"/>
      <family val="2"/>
    </font>
    <font>
      <sz val="8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0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7" fillId="0" borderId="0" xfId="2" applyFont="1" applyFill="1" applyAlignment="1">
      <alignment horizontal="right" vertical="top"/>
    </xf>
    <xf numFmtId="0" fontId="8" fillId="0" borderId="0" xfId="1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top" wrapText="1"/>
    </xf>
    <xf numFmtId="164" fontId="6" fillId="0" borderId="11" xfId="0" applyNumberFormat="1" applyFont="1" applyBorder="1" applyAlignment="1" applyProtection="1">
      <alignment horizontal="left" vertical="top" wrapText="1"/>
      <protection locked="0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/>
    </xf>
    <xf numFmtId="2" fontId="6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2" fontId="5" fillId="0" borderId="5" xfId="0" applyNumberFormat="1" applyFont="1" applyBorder="1" applyAlignment="1">
      <alignment horizontal="center" vertical="top"/>
    </xf>
    <xf numFmtId="0" fontId="5" fillId="2" borderId="8" xfId="0" applyFont="1" applyFill="1" applyBorder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5" fillId="0" borderId="6" xfId="0" applyFont="1" applyBorder="1" applyAlignment="1">
      <alignment horizontal="center" vertical="top"/>
    </xf>
    <xf numFmtId="2" fontId="6" fillId="0" borderId="9" xfId="0" applyNumberFormat="1" applyFont="1" applyBorder="1" applyAlignment="1">
      <alignment horizontal="center" vertical="top" wrapText="1"/>
    </xf>
    <xf numFmtId="2" fontId="5" fillId="0" borderId="7" xfId="0" applyNumberFormat="1" applyFont="1" applyBorder="1" applyAlignment="1">
      <alignment horizontal="center" vertical="top"/>
    </xf>
    <xf numFmtId="2" fontId="11" fillId="0" borderId="1" xfId="0" applyNumberFormat="1" applyFont="1" applyBorder="1" applyAlignment="1">
      <alignment horizontal="center" vertical="top"/>
    </xf>
    <xf numFmtId="2" fontId="11" fillId="0" borderId="9" xfId="0" applyNumberFormat="1" applyFont="1" applyBorder="1" applyAlignment="1">
      <alignment horizontal="center" vertical="top"/>
    </xf>
    <xf numFmtId="2" fontId="11" fillId="0" borderId="1" xfId="0" applyNumberFormat="1" applyFont="1" applyBorder="1" applyAlignment="1">
      <alignment horizontal="center" vertical="top" wrapText="1"/>
    </xf>
    <xf numFmtId="2" fontId="11" fillId="0" borderId="9" xfId="0" applyNumberFormat="1" applyFont="1" applyBorder="1" applyAlignment="1">
      <alignment horizontal="center" vertical="top" wrapText="1"/>
    </xf>
    <xf numFmtId="0" fontId="13" fillId="0" borderId="0" xfId="0" applyFont="1" applyAlignment="1">
      <alignment horizontal="right" vertical="top"/>
    </xf>
    <xf numFmtId="2" fontId="11" fillId="0" borderId="4" xfId="0" applyNumberFormat="1" applyFont="1" applyBorder="1" applyAlignment="1" applyProtection="1">
      <alignment horizontal="center" vertical="top" wrapText="1"/>
      <protection locked="0"/>
    </xf>
    <xf numFmtId="2" fontId="11" fillId="0" borderId="1" xfId="0" applyNumberFormat="1" applyFont="1" applyBorder="1" applyAlignment="1" applyProtection="1">
      <alignment horizontal="center" vertical="top" wrapText="1"/>
      <protection locked="0"/>
    </xf>
    <xf numFmtId="2" fontId="11" fillId="0" borderId="5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2" fontId="11" fillId="0" borderId="15" xfId="0" applyNumberFormat="1" applyFont="1" applyBorder="1" applyAlignment="1" applyProtection="1">
      <alignment horizontal="center" vertical="top" wrapText="1"/>
      <protection locked="0"/>
    </xf>
    <xf numFmtId="2" fontId="11" fillId="0" borderId="16" xfId="0" applyNumberFormat="1" applyFont="1" applyBorder="1" applyAlignment="1" applyProtection="1">
      <alignment horizontal="center" vertical="top" wrapText="1"/>
      <protection locked="0"/>
    </xf>
    <xf numFmtId="2" fontId="11" fillId="0" borderId="17" xfId="0" applyNumberFormat="1" applyFont="1" applyBorder="1" applyAlignment="1">
      <alignment horizontal="left" vertical="top" wrapText="1"/>
    </xf>
    <xf numFmtId="164" fontId="6" fillId="2" borderId="13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2" fillId="0" borderId="0" xfId="1" applyFont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3.6. Mapificación de resultados de modelación 1D en RAS Mapper</c:v>
            </c:pt>
          </c:strCache>
        </c:strRef>
      </c:tx>
      <c:layout>
        <c:manualLayout>
          <c:xMode val="edge"/>
          <c:yMode val="edge"/>
          <c:x val="0.17854460973743866"/>
          <c:y val="2.4462059476016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5929719601660522"/>
          <c:w val="0.83492607174103239"/>
          <c:h val="0.569900795790747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198300</xdr:colOff>
      <xdr:row>2</xdr:row>
      <xdr:rowOff>181548</xdr:rowOff>
    </xdr:from>
    <xdr:to>
      <xdr:col>14</xdr:col>
      <xdr:colOff>256438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45" zoomScaleNormal="145" workbookViewId="0">
      <selection activeCell="D22" sqref="D22"/>
    </sheetView>
  </sheetViews>
  <sheetFormatPr defaultColWidth="11.3984375" defaultRowHeight="15.4" x14ac:dyDescent="0.45"/>
  <cols>
    <col min="1" max="1" width="2.6640625" style="10" customWidth="1"/>
    <col min="2" max="2" width="13.86328125" style="10" customWidth="1"/>
    <col min="3" max="4" width="11.53125" style="10" customWidth="1"/>
    <col min="5" max="5" width="13.73046875" style="10" customWidth="1"/>
    <col min="6" max="6" width="11.53125" style="10" customWidth="1"/>
    <col min="7" max="7" width="2.6640625" style="10" customWidth="1"/>
    <col min="8" max="16384" width="11.3984375" style="10"/>
  </cols>
  <sheetData>
    <row r="1" spans="2:6" x14ac:dyDescent="0.45">
      <c r="F1" s="31" t="s">
        <v>26</v>
      </c>
    </row>
    <row r="2" spans="2:6" x14ac:dyDescent="0.45">
      <c r="B2" s="40" t="s">
        <v>16</v>
      </c>
      <c r="C2" s="40"/>
      <c r="D2" s="40"/>
      <c r="E2" s="40"/>
      <c r="F2" s="40"/>
    </row>
    <row r="3" spans="2:6" ht="16.5" customHeight="1" x14ac:dyDescent="0.45">
      <c r="B3" s="41"/>
      <c r="C3" s="41"/>
      <c r="D3" s="41"/>
      <c r="E3" s="41"/>
      <c r="F3" s="41"/>
    </row>
    <row r="4" spans="2:6" ht="33" x14ac:dyDescent="0.45">
      <c r="B4" s="15" t="s">
        <v>2</v>
      </c>
      <c r="C4" s="16" t="s">
        <v>7</v>
      </c>
      <c r="D4" s="22" t="s">
        <v>9</v>
      </c>
      <c r="E4" s="22" t="s">
        <v>15</v>
      </c>
      <c r="F4" s="17" t="s">
        <v>8</v>
      </c>
    </row>
    <row r="5" spans="2:6" x14ac:dyDescent="0.45">
      <c r="B5" s="18" t="s">
        <v>10</v>
      </c>
      <c r="C5" s="27">
        <v>5</v>
      </c>
      <c r="D5" s="19">
        <f>Detalle!C9*C5/5</f>
        <v>0</v>
      </c>
      <c r="E5" s="29"/>
      <c r="F5" s="21">
        <f>AVERAGE(D5:E5)</f>
        <v>0</v>
      </c>
    </row>
    <row r="6" spans="2:6" x14ac:dyDescent="0.45">
      <c r="B6" s="18" t="s">
        <v>11</v>
      </c>
      <c r="C6" s="27">
        <v>5</v>
      </c>
      <c r="D6" s="19">
        <f>Detalle!F9*C6/5</f>
        <v>0</v>
      </c>
      <c r="E6" s="29"/>
      <c r="F6" s="21">
        <f t="shared" ref="F6:F18" si="0">AVERAGE(D6:E6)</f>
        <v>0</v>
      </c>
    </row>
    <row r="7" spans="2:6" x14ac:dyDescent="0.45">
      <c r="B7" s="18" t="s">
        <v>12</v>
      </c>
      <c r="C7" s="27">
        <v>5</v>
      </c>
      <c r="D7" s="19">
        <f>Detalle!I9*C7/5</f>
        <v>0</v>
      </c>
      <c r="E7" s="29"/>
      <c r="F7" s="21">
        <f t="shared" si="0"/>
        <v>0</v>
      </c>
    </row>
    <row r="8" spans="2:6" x14ac:dyDescent="0.45">
      <c r="B8" s="18" t="s">
        <v>13</v>
      </c>
      <c r="C8" s="27">
        <v>5</v>
      </c>
      <c r="D8" s="19">
        <f>Detalle!L9*C8/5</f>
        <v>0</v>
      </c>
      <c r="E8" s="29"/>
      <c r="F8" s="21">
        <f t="shared" si="0"/>
        <v>0</v>
      </c>
    </row>
    <row r="9" spans="2:6" x14ac:dyDescent="0.45">
      <c r="B9" s="18" t="s">
        <v>14</v>
      </c>
      <c r="C9" s="27">
        <v>5</v>
      </c>
      <c r="D9" s="19">
        <f>Detalle!O9*C9/5</f>
        <v>0</v>
      </c>
      <c r="E9" s="29"/>
      <c r="F9" s="21">
        <f t="shared" si="0"/>
        <v>0</v>
      </c>
    </row>
    <row r="10" spans="2:6" x14ac:dyDescent="0.45">
      <c r="B10" s="18" t="s">
        <v>17</v>
      </c>
      <c r="C10" s="27">
        <v>5</v>
      </c>
      <c r="D10" s="19">
        <f>Detalle!R9*C10/5</f>
        <v>0</v>
      </c>
      <c r="E10" s="29"/>
      <c r="F10" s="21">
        <f t="shared" si="0"/>
        <v>0</v>
      </c>
    </row>
    <row r="11" spans="2:6" x14ac:dyDescent="0.45">
      <c r="B11" s="18" t="s">
        <v>18</v>
      </c>
      <c r="C11" s="27">
        <v>5</v>
      </c>
      <c r="D11" s="19">
        <f>Detalle!U9*C11/5</f>
        <v>0</v>
      </c>
      <c r="E11" s="29"/>
      <c r="F11" s="21">
        <f t="shared" si="0"/>
        <v>0</v>
      </c>
    </row>
    <row r="12" spans="2:6" x14ac:dyDescent="0.45">
      <c r="B12" s="18" t="s">
        <v>19</v>
      </c>
      <c r="C12" s="27">
        <v>5</v>
      </c>
      <c r="D12" s="19">
        <f>Detalle!X9*C12/5</f>
        <v>0</v>
      </c>
      <c r="E12" s="29"/>
      <c r="F12" s="21">
        <f t="shared" si="0"/>
        <v>0</v>
      </c>
    </row>
    <row r="13" spans="2:6" x14ac:dyDescent="0.45">
      <c r="B13" s="18" t="s">
        <v>20</v>
      </c>
      <c r="C13" s="27">
        <v>5</v>
      </c>
      <c r="D13" s="19">
        <f>Detalle!AA9*C13/5</f>
        <v>0</v>
      </c>
      <c r="E13" s="29"/>
      <c r="F13" s="21">
        <f t="shared" si="0"/>
        <v>0</v>
      </c>
    </row>
    <row r="14" spans="2:6" x14ac:dyDescent="0.45">
      <c r="B14" s="18" t="s">
        <v>21</v>
      </c>
      <c r="C14" s="27">
        <v>5</v>
      </c>
      <c r="D14" s="19">
        <f>Detalle!AD9*C14/5</f>
        <v>0</v>
      </c>
      <c r="E14" s="29"/>
      <c r="F14" s="21">
        <f t="shared" si="0"/>
        <v>0</v>
      </c>
    </row>
    <row r="15" spans="2:6" x14ac:dyDescent="0.45">
      <c r="B15" s="18" t="s">
        <v>22</v>
      </c>
      <c r="C15" s="27">
        <v>5</v>
      </c>
      <c r="D15" s="19">
        <f>Detalle!AG9*C15/5</f>
        <v>0</v>
      </c>
      <c r="E15" s="29"/>
      <c r="F15" s="21">
        <f t="shared" si="0"/>
        <v>0</v>
      </c>
    </row>
    <row r="16" spans="2:6" x14ac:dyDescent="0.45">
      <c r="B16" s="18" t="s">
        <v>23</v>
      </c>
      <c r="C16" s="27">
        <v>5</v>
      </c>
      <c r="D16" s="19">
        <f>Detalle!AJ9*C16/5</f>
        <v>0</v>
      </c>
      <c r="E16" s="29"/>
      <c r="F16" s="21">
        <f t="shared" si="0"/>
        <v>0</v>
      </c>
    </row>
    <row r="17" spans="2:6" x14ac:dyDescent="0.45">
      <c r="B17" s="18" t="s">
        <v>24</v>
      </c>
      <c r="C17" s="27">
        <v>5</v>
      </c>
      <c r="D17" s="19">
        <f>Detalle!AM9*C17/5</f>
        <v>0</v>
      </c>
      <c r="E17" s="29"/>
      <c r="F17" s="21">
        <f t="shared" si="0"/>
        <v>0</v>
      </c>
    </row>
    <row r="18" spans="2:6" x14ac:dyDescent="0.45">
      <c r="B18" s="24" t="s">
        <v>25</v>
      </c>
      <c r="C18" s="28">
        <v>5</v>
      </c>
      <c r="D18" s="25">
        <f>Detalle!AP9*C18/5</f>
        <v>0</v>
      </c>
      <c r="E18" s="30"/>
      <c r="F18" s="26">
        <f t="shared" si="0"/>
        <v>0</v>
      </c>
    </row>
    <row r="19" spans="2:6" ht="14.25" customHeight="1" x14ac:dyDescent="0.45">
      <c r="B19" s="42" t="str">
        <f>HYPERLINK(_xlfn.CONCAT("https://github.com/rcfdtools/R.HCMC/blob/main/activity/",F1,"/Readme.md"),_xlfn.CONCAT("Ir a actividad ",F1," en GitHub."))</f>
        <v>Ir a actividad M03A06 en GitHub.</v>
      </c>
      <c r="C19" s="42"/>
      <c r="D19" s="42"/>
      <c r="E19" s="42"/>
      <c r="F19" s="42"/>
    </row>
    <row r="20" spans="2:6" x14ac:dyDescent="0.45">
      <c r="B20" s="42"/>
      <c r="C20" s="42"/>
      <c r="D20" s="42"/>
      <c r="E20" s="42"/>
      <c r="F20" s="42"/>
    </row>
    <row r="21" spans="2:6" x14ac:dyDescent="0.45">
      <c r="E21" s="20"/>
      <c r="F21" s="20"/>
    </row>
  </sheetData>
  <mergeCells count="3">
    <mergeCell ref="B2:F3"/>
    <mergeCell ref="B19:F19"/>
    <mergeCell ref="B20:F20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45"/>
  <sheetViews>
    <sheetView showGridLines="0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1.3984375" defaultRowHeight="15.4" x14ac:dyDescent="0.45"/>
  <cols>
    <col min="1" max="1" width="2.6640625" style="8" customWidth="1"/>
    <col min="2" max="2" width="60.6640625" style="7" customWidth="1"/>
    <col min="3" max="4" width="10.6640625" style="6" customWidth="1"/>
    <col min="5" max="5" width="50.6640625" style="6" customWidth="1"/>
    <col min="6" max="7" width="10.6640625" style="6" customWidth="1"/>
    <col min="8" max="8" width="50.6640625" style="6" customWidth="1"/>
    <col min="9" max="10" width="10.6640625" style="6" customWidth="1"/>
    <col min="11" max="11" width="50.6640625" style="6" customWidth="1"/>
    <col min="12" max="13" width="10.6640625" style="6" customWidth="1"/>
    <col min="14" max="14" width="50.6640625" style="6" customWidth="1"/>
    <col min="15" max="16" width="10.6640625" style="6" customWidth="1"/>
    <col min="17" max="17" width="50.6640625" style="6" customWidth="1"/>
    <col min="18" max="19" width="10.6640625" style="6" customWidth="1"/>
    <col min="20" max="20" width="50.6640625" style="6" customWidth="1"/>
    <col min="21" max="22" width="10.6640625" style="6" customWidth="1"/>
    <col min="23" max="23" width="50.6640625" style="6" customWidth="1"/>
    <col min="24" max="25" width="10.6640625" style="6" customWidth="1"/>
    <col min="26" max="26" width="50.6640625" style="6" customWidth="1"/>
    <col min="27" max="28" width="10.6640625" style="6" customWidth="1"/>
    <col min="29" max="29" width="50.6640625" style="6" customWidth="1"/>
    <col min="30" max="31" width="10.6640625" style="6" customWidth="1"/>
    <col min="32" max="32" width="50.6640625" style="6" customWidth="1"/>
    <col min="33" max="34" width="10.6640625" style="6" customWidth="1"/>
    <col min="35" max="35" width="50.6640625" style="6" customWidth="1"/>
    <col min="36" max="37" width="10.6640625" style="6" customWidth="1"/>
    <col min="38" max="38" width="50.6640625" style="6" customWidth="1"/>
    <col min="39" max="40" width="10.6640625" style="6" customWidth="1"/>
    <col min="41" max="41" width="50.6640625" style="6" customWidth="1"/>
    <col min="42" max="43" width="10.6640625" style="6" customWidth="1"/>
    <col min="44" max="44" width="50.6640625" style="6" customWidth="1"/>
    <col min="45" max="45" width="11.3984375" style="7" customWidth="1"/>
    <col min="46" max="16384" width="11.3984375" style="7"/>
  </cols>
  <sheetData>
    <row r="1" spans="1:44" x14ac:dyDescent="0.45">
      <c r="A1" s="4"/>
      <c r="B1" s="23" t="str">
        <f>Calificacion!B2</f>
        <v>Calificación: 3.6. Mapificación de resultados de modelación 1D en RAS Mapper</v>
      </c>
      <c r="C1" s="5"/>
      <c r="D1" s="5"/>
      <c r="F1" s="5"/>
      <c r="G1" s="5"/>
      <c r="I1" s="5"/>
      <c r="J1" s="5"/>
      <c r="L1" s="5"/>
      <c r="M1" s="5"/>
      <c r="O1" s="5"/>
      <c r="P1" s="5"/>
      <c r="R1" s="5"/>
      <c r="S1" s="5"/>
      <c r="U1" s="5"/>
      <c r="V1" s="5"/>
      <c r="X1" s="5"/>
      <c r="Y1" s="5"/>
      <c r="AA1" s="5"/>
      <c r="AB1" s="5"/>
      <c r="AD1" s="5"/>
      <c r="AE1" s="5"/>
      <c r="AG1" s="5"/>
      <c r="AH1" s="5"/>
      <c r="AJ1" s="5"/>
      <c r="AK1" s="5"/>
      <c r="AM1" s="5"/>
      <c r="AN1" s="5"/>
      <c r="AP1" s="5"/>
      <c r="AQ1" s="5"/>
    </row>
    <row r="2" spans="1:44" s="9" customFormat="1" x14ac:dyDescent="0.45">
      <c r="A2" s="8"/>
      <c r="B2" s="43" t="s">
        <v>3</v>
      </c>
      <c r="C2" s="47" t="str">
        <f>Calificacion!$B5</f>
        <v>Grupo 1</v>
      </c>
      <c r="D2" s="48"/>
      <c r="E2" s="49"/>
      <c r="F2" s="47" t="str">
        <f>Calificacion!$B6</f>
        <v>Grupo 2</v>
      </c>
      <c r="G2" s="48"/>
      <c r="H2" s="49"/>
      <c r="I2" s="47" t="str">
        <f>Calificacion!$B7</f>
        <v>Grupo 3</v>
      </c>
      <c r="J2" s="48"/>
      <c r="K2" s="49"/>
      <c r="L2" s="47" t="str">
        <f>Calificacion!$B8</f>
        <v>Grupo 4</v>
      </c>
      <c r="M2" s="48"/>
      <c r="N2" s="49"/>
      <c r="O2" s="47" t="str">
        <f>Calificacion!$B9</f>
        <v>Grupo 5</v>
      </c>
      <c r="P2" s="48"/>
      <c r="Q2" s="49"/>
      <c r="R2" s="47" t="str">
        <f>Calificacion!$B10</f>
        <v>Grupo 6</v>
      </c>
      <c r="S2" s="48"/>
      <c r="T2" s="49"/>
      <c r="U2" s="47" t="str">
        <f>Calificacion!$B11</f>
        <v>Grupo 7</v>
      </c>
      <c r="V2" s="48"/>
      <c r="W2" s="49"/>
      <c r="X2" s="47" t="str">
        <f>Calificacion!$B12</f>
        <v>Grupo 8</v>
      </c>
      <c r="Y2" s="48"/>
      <c r="Z2" s="49"/>
      <c r="AA2" s="47" t="str">
        <f>Calificacion!$B13</f>
        <v>Grupo 9</v>
      </c>
      <c r="AB2" s="48"/>
      <c r="AC2" s="49"/>
      <c r="AD2" s="47" t="str">
        <f>Calificacion!$B14</f>
        <v>Grupo 10</v>
      </c>
      <c r="AE2" s="48"/>
      <c r="AF2" s="49"/>
      <c r="AG2" s="47" t="str">
        <f>Calificacion!$B15</f>
        <v>Grupo 11</v>
      </c>
      <c r="AH2" s="48"/>
      <c r="AI2" s="49"/>
      <c r="AJ2" s="47" t="str">
        <f>Calificacion!$B16</f>
        <v>Grupo 12</v>
      </c>
      <c r="AK2" s="48"/>
      <c r="AL2" s="49"/>
      <c r="AM2" s="47" t="str">
        <f>Calificacion!$B17</f>
        <v>Grupo 13</v>
      </c>
      <c r="AN2" s="48"/>
      <c r="AO2" s="49"/>
      <c r="AP2" s="47" t="str">
        <f>Calificacion!$B18</f>
        <v>Grupo 14</v>
      </c>
      <c r="AQ2" s="48"/>
      <c r="AR2" s="49"/>
    </row>
    <row r="3" spans="1:44" x14ac:dyDescent="0.45">
      <c r="B3" s="44"/>
      <c r="C3" s="13" t="s">
        <v>1</v>
      </c>
      <c r="D3" s="11" t="s">
        <v>4</v>
      </c>
      <c r="E3" s="14" t="s">
        <v>0</v>
      </c>
      <c r="F3" s="13" t="s">
        <v>1</v>
      </c>
      <c r="G3" s="11" t="s">
        <v>4</v>
      </c>
      <c r="H3" s="14" t="s">
        <v>0</v>
      </c>
      <c r="I3" s="13" t="s">
        <v>1</v>
      </c>
      <c r="J3" s="11" t="s">
        <v>4</v>
      </c>
      <c r="K3" s="14" t="s">
        <v>0</v>
      </c>
      <c r="L3" s="13" t="s">
        <v>1</v>
      </c>
      <c r="M3" s="11" t="s">
        <v>4</v>
      </c>
      <c r="N3" s="14" t="s">
        <v>0</v>
      </c>
      <c r="O3" s="13" t="s">
        <v>1</v>
      </c>
      <c r="P3" s="11" t="s">
        <v>4</v>
      </c>
      <c r="Q3" s="14" t="s">
        <v>0</v>
      </c>
      <c r="R3" s="13" t="s">
        <v>1</v>
      </c>
      <c r="S3" s="11" t="s">
        <v>4</v>
      </c>
      <c r="T3" s="14" t="s">
        <v>0</v>
      </c>
      <c r="U3" s="13" t="s">
        <v>1</v>
      </c>
      <c r="V3" s="11" t="s">
        <v>4</v>
      </c>
      <c r="W3" s="14" t="s">
        <v>0</v>
      </c>
      <c r="X3" s="13" t="s">
        <v>1</v>
      </c>
      <c r="Y3" s="11" t="s">
        <v>4</v>
      </c>
      <c r="Z3" s="14" t="s">
        <v>0</v>
      </c>
      <c r="AA3" s="13" t="s">
        <v>1</v>
      </c>
      <c r="AB3" s="11" t="s">
        <v>4</v>
      </c>
      <c r="AC3" s="14" t="s">
        <v>0</v>
      </c>
      <c r="AD3" s="13" t="s">
        <v>1</v>
      </c>
      <c r="AE3" s="11" t="s">
        <v>4</v>
      </c>
      <c r="AF3" s="14" t="s">
        <v>0</v>
      </c>
      <c r="AG3" s="13" t="s">
        <v>1</v>
      </c>
      <c r="AH3" s="11" t="s">
        <v>4</v>
      </c>
      <c r="AI3" s="14" t="s">
        <v>0</v>
      </c>
      <c r="AJ3" s="13" t="s">
        <v>1</v>
      </c>
      <c r="AK3" s="11" t="s">
        <v>4</v>
      </c>
      <c r="AL3" s="14" t="s">
        <v>0</v>
      </c>
      <c r="AM3" s="13" t="s">
        <v>1</v>
      </c>
      <c r="AN3" s="11" t="s">
        <v>4</v>
      </c>
      <c r="AO3" s="14" t="s">
        <v>0</v>
      </c>
      <c r="AP3" s="13" t="s">
        <v>1</v>
      </c>
      <c r="AQ3" s="11" t="s">
        <v>4</v>
      </c>
      <c r="AR3" s="14" t="s">
        <v>0</v>
      </c>
    </row>
    <row r="4" spans="1:44" ht="79.8" customHeight="1" x14ac:dyDescent="0.45">
      <c r="B4" s="12" t="s">
        <v>5</v>
      </c>
      <c r="C4" s="32">
        <v>0</v>
      </c>
      <c r="D4" s="33"/>
      <c r="E4" s="34"/>
      <c r="F4" s="32">
        <v>0</v>
      </c>
      <c r="G4" s="33"/>
      <c r="H4" s="34"/>
      <c r="I4" s="32">
        <v>0</v>
      </c>
      <c r="J4" s="33"/>
      <c r="K4" s="34"/>
      <c r="L4" s="32">
        <v>0</v>
      </c>
      <c r="M4" s="33"/>
      <c r="N4" s="34"/>
      <c r="O4" s="32">
        <v>0</v>
      </c>
      <c r="P4" s="33"/>
      <c r="Q4" s="34"/>
      <c r="R4" s="32">
        <v>0</v>
      </c>
      <c r="S4" s="33"/>
      <c r="T4" s="34"/>
      <c r="U4" s="32">
        <v>0</v>
      </c>
      <c r="V4" s="33"/>
      <c r="W4" s="34"/>
      <c r="X4" s="32">
        <v>0</v>
      </c>
      <c r="Y4" s="33"/>
      <c r="Z4" s="34"/>
      <c r="AA4" s="32">
        <v>0</v>
      </c>
      <c r="AB4" s="33"/>
      <c r="AC4" s="34"/>
      <c r="AD4" s="32">
        <v>0</v>
      </c>
      <c r="AE4" s="33"/>
      <c r="AF4" s="34"/>
      <c r="AG4" s="32">
        <v>0</v>
      </c>
      <c r="AH4" s="33"/>
      <c r="AI4" s="34"/>
      <c r="AJ4" s="32">
        <v>0</v>
      </c>
      <c r="AK4" s="33"/>
      <c r="AL4" s="34"/>
      <c r="AM4" s="32">
        <v>0</v>
      </c>
      <c r="AN4" s="33"/>
      <c r="AO4" s="34"/>
      <c r="AP4" s="32">
        <v>0</v>
      </c>
      <c r="AQ4" s="33"/>
      <c r="AR4" s="34"/>
    </row>
    <row r="5" spans="1:44" ht="78.5" customHeight="1" x14ac:dyDescent="0.45">
      <c r="B5" s="12" t="s">
        <v>6</v>
      </c>
      <c r="C5" s="32"/>
      <c r="D5" s="33"/>
      <c r="E5" s="34"/>
      <c r="F5" s="32"/>
      <c r="G5" s="33"/>
      <c r="H5" s="34"/>
      <c r="I5" s="32"/>
      <c r="J5" s="33"/>
      <c r="K5" s="34"/>
      <c r="L5" s="32"/>
      <c r="M5" s="33"/>
      <c r="N5" s="34"/>
      <c r="O5" s="32"/>
      <c r="P5" s="33"/>
      <c r="Q5" s="34"/>
      <c r="R5" s="32"/>
      <c r="S5" s="33"/>
      <c r="T5" s="34"/>
      <c r="U5" s="32"/>
      <c r="V5" s="33"/>
      <c r="W5" s="34"/>
      <c r="X5" s="32"/>
      <c r="Y5" s="33"/>
      <c r="Z5" s="34"/>
      <c r="AA5" s="32"/>
      <c r="AB5" s="33"/>
      <c r="AC5" s="34"/>
      <c r="AD5" s="32"/>
      <c r="AE5" s="33"/>
      <c r="AF5" s="34"/>
      <c r="AG5" s="32"/>
      <c r="AH5" s="33"/>
      <c r="AI5" s="34"/>
      <c r="AJ5" s="32"/>
      <c r="AK5" s="33"/>
      <c r="AL5" s="34"/>
      <c r="AM5" s="32"/>
      <c r="AN5" s="33"/>
      <c r="AO5" s="34"/>
      <c r="AP5" s="32"/>
      <c r="AQ5" s="33"/>
      <c r="AR5" s="34"/>
    </row>
    <row r="6" spans="1:44" ht="35.65" customHeight="1" x14ac:dyDescent="0.45">
      <c r="B6" s="12" t="s">
        <v>28</v>
      </c>
      <c r="C6" s="32"/>
      <c r="D6" s="33"/>
      <c r="E6" s="34"/>
      <c r="F6" s="32"/>
      <c r="G6" s="33"/>
      <c r="H6" s="34"/>
      <c r="I6" s="32"/>
      <c r="J6" s="33"/>
      <c r="K6" s="34"/>
      <c r="L6" s="32"/>
      <c r="M6" s="33"/>
      <c r="N6" s="34"/>
      <c r="O6" s="32"/>
      <c r="P6" s="33"/>
      <c r="Q6" s="34"/>
      <c r="R6" s="32"/>
      <c r="S6" s="33"/>
      <c r="T6" s="34"/>
      <c r="U6" s="32"/>
      <c r="V6" s="33"/>
      <c r="W6" s="34"/>
      <c r="X6" s="32"/>
      <c r="Y6" s="33"/>
      <c r="Z6" s="34"/>
      <c r="AA6" s="32"/>
      <c r="AB6" s="33"/>
      <c r="AC6" s="34"/>
      <c r="AD6" s="32"/>
      <c r="AE6" s="33"/>
      <c r="AF6" s="34"/>
      <c r="AG6" s="32"/>
      <c r="AH6" s="33"/>
      <c r="AI6" s="34"/>
      <c r="AJ6" s="32"/>
      <c r="AK6" s="33"/>
      <c r="AL6" s="34"/>
      <c r="AM6" s="32"/>
      <c r="AN6" s="33"/>
      <c r="AO6" s="34"/>
      <c r="AP6" s="32"/>
      <c r="AQ6" s="33"/>
      <c r="AR6" s="34"/>
    </row>
    <row r="7" spans="1:44" ht="108.95" customHeight="1" x14ac:dyDescent="0.45">
      <c r="B7" s="12" t="s">
        <v>27</v>
      </c>
      <c r="C7" s="32"/>
      <c r="D7" s="33"/>
      <c r="E7" s="34"/>
      <c r="F7" s="32"/>
      <c r="G7" s="33"/>
      <c r="H7" s="34"/>
      <c r="I7" s="32"/>
      <c r="J7" s="33"/>
      <c r="K7" s="34"/>
      <c r="L7" s="32"/>
      <c r="M7" s="33"/>
      <c r="N7" s="34"/>
      <c r="O7" s="32"/>
      <c r="P7" s="33"/>
      <c r="Q7" s="34"/>
      <c r="R7" s="32"/>
      <c r="S7" s="33"/>
      <c r="T7" s="34"/>
      <c r="U7" s="32"/>
      <c r="V7" s="33"/>
      <c r="W7" s="34"/>
      <c r="X7" s="32"/>
      <c r="Y7" s="33"/>
      <c r="Z7" s="34"/>
      <c r="AA7" s="32"/>
      <c r="AB7" s="33"/>
      <c r="AC7" s="34"/>
      <c r="AD7" s="32"/>
      <c r="AE7" s="33"/>
      <c r="AF7" s="34"/>
      <c r="AG7" s="32"/>
      <c r="AH7" s="33"/>
      <c r="AI7" s="34"/>
      <c r="AJ7" s="32"/>
      <c r="AK7" s="33"/>
      <c r="AL7" s="34"/>
      <c r="AM7" s="32"/>
      <c r="AN7" s="33"/>
      <c r="AO7" s="34"/>
      <c r="AP7" s="32"/>
      <c r="AQ7" s="33"/>
      <c r="AR7" s="34"/>
    </row>
    <row r="8" spans="1:44" x14ac:dyDescent="0.45">
      <c r="B8" s="35"/>
      <c r="C8" s="36"/>
      <c r="D8" s="37"/>
      <c r="E8" s="38"/>
      <c r="F8" s="36"/>
      <c r="G8" s="37"/>
      <c r="H8" s="38"/>
      <c r="I8" s="36"/>
      <c r="J8" s="37"/>
      <c r="K8" s="38"/>
      <c r="L8" s="36"/>
      <c r="M8" s="37"/>
      <c r="N8" s="38"/>
      <c r="O8" s="36"/>
      <c r="P8" s="37"/>
      <c r="Q8" s="38"/>
      <c r="R8" s="36"/>
      <c r="S8" s="37"/>
      <c r="T8" s="38"/>
      <c r="U8" s="36"/>
      <c r="V8" s="37"/>
      <c r="W8" s="38"/>
      <c r="X8" s="36"/>
      <c r="Y8" s="37"/>
      <c r="Z8" s="38"/>
      <c r="AA8" s="36"/>
      <c r="AB8" s="37"/>
      <c r="AC8" s="38"/>
      <c r="AD8" s="36"/>
      <c r="AE8" s="37"/>
      <c r="AF8" s="38"/>
      <c r="AG8" s="36"/>
      <c r="AH8" s="37"/>
      <c r="AI8" s="38"/>
      <c r="AJ8" s="36"/>
      <c r="AK8" s="37"/>
      <c r="AL8" s="38"/>
      <c r="AM8" s="36"/>
      <c r="AN8" s="37"/>
      <c r="AO8" s="38"/>
      <c r="AP8" s="36"/>
      <c r="AQ8" s="37"/>
      <c r="AR8" s="38"/>
    </row>
    <row r="9" spans="1:44" s="2" customFormat="1" x14ac:dyDescent="0.45">
      <c r="A9" s="1"/>
      <c r="B9" s="39" t="s">
        <v>1</v>
      </c>
      <c r="C9" s="45">
        <f>AVERAGE(C4:C8)</f>
        <v>0</v>
      </c>
      <c r="D9" s="45"/>
      <c r="E9" s="46"/>
      <c r="F9" s="45">
        <f>AVERAGE(F4:F8)</f>
        <v>0</v>
      </c>
      <c r="G9" s="45"/>
      <c r="H9" s="46"/>
      <c r="I9" s="45">
        <f>AVERAGE(I4:I8)</f>
        <v>0</v>
      </c>
      <c r="J9" s="45"/>
      <c r="K9" s="46"/>
      <c r="L9" s="45">
        <f>AVERAGE(L4:L8)</f>
        <v>0</v>
      </c>
      <c r="M9" s="45"/>
      <c r="N9" s="46"/>
      <c r="O9" s="45">
        <f>AVERAGE(O4:O8)</f>
        <v>0</v>
      </c>
      <c r="P9" s="45"/>
      <c r="Q9" s="46"/>
      <c r="R9" s="45">
        <f>AVERAGE(R4:R8)</f>
        <v>0</v>
      </c>
      <c r="S9" s="45"/>
      <c r="T9" s="46"/>
      <c r="U9" s="45">
        <f>AVERAGE(U4:U8)</f>
        <v>0</v>
      </c>
      <c r="V9" s="45"/>
      <c r="W9" s="46"/>
      <c r="X9" s="45">
        <f>AVERAGE(X4:X8)</f>
        <v>0</v>
      </c>
      <c r="Y9" s="45"/>
      <c r="Z9" s="46"/>
      <c r="AA9" s="45">
        <f>AVERAGE(AA4:AA8)</f>
        <v>0</v>
      </c>
      <c r="AB9" s="45"/>
      <c r="AC9" s="46"/>
      <c r="AD9" s="45">
        <f>AVERAGE(AD4:AD8)</f>
        <v>0</v>
      </c>
      <c r="AE9" s="45"/>
      <c r="AF9" s="46"/>
      <c r="AG9" s="45">
        <f>AVERAGE(AG4:AG8)</f>
        <v>0</v>
      </c>
      <c r="AH9" s="45"/>
      <c r="AI9" s="46"/>
      <c r="AJ9" s="45">
        <f>AVERAGE(AJ4:AJ8)</f>
        <v>0</v>
      </c>
      <c r="AK9" s="45"/>
      <c r="AL9" s="46"/>
      <c r="AM9" s="45">
        <f>AVERAGE(AM4:AM8)</f>
        <v>0</v>
      </c>
      <c r="AN9" s="45"/>
      <c r="AO9" s="46"/>
      <c r="AP9" s="45">
        <f>AVERAGE(AP4:AP8)</f>
        <v>0</v>
      </c>
      <c r="AQ9" s="45"/>
      <c r="AR9" s="46"/>
    </row>
    <row r="10" spans="1:44" s="8" customFormat="1" x14ac:dyDescent="0.45">
      <c r="B10" s="3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s="8" customFormat="1" x14ac:dyDescent="0.45"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s="8" customFormat="1" x14ac:dyDescent="0.45"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s="8" customFormat="1" x14ac:dyDescent="0.45"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s="8" customFormat="1" x14ac:dyDescent="0.45"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s="8" customFormat="1" x14ac:dyDescent="0.45"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s="8" customFormat="1" x14ac:dyDescent="0.45"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2:44" s="8" customFormat="1" x14ac:dyDescent="0.45"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2:44" s="8" customFormat="1" x14ac:dyDescent="0.45"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2:44" s="8" customFormat="1" x14ac:dyDescent="0.45"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 spans="2:44" s="8" customFormat="1" x14ac:dyDescent="0.45"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spans="2:44" s="8" customFormat="1" x14ac:dyDescent="0.45"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2:44" s="8" customFormat="1" x14ac:dyDescent="0.45"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2:44" s="8" customFormat="1" x14ac:dyDescent="0.45"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2:44" s="8" customFormat="1" x14ac:dyDescent="0.45"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2:44" s="8" customFormat="1" x14ac:dyDescent="0.45"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2:44" s="8" customFormat="1" x14ac:dyDescent="0.45"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spans="2:44" s="8" customFormat="1" x14ac:dyDescent="0.45"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pans="2:44" s="8" customFormat="1" x14ac:dyDescent="0.45"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spans="2:44" s="8" customFormat="1" x14ac:dyDescent="0.45"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2:44" s="8" customFormat="1" x14ac:dyDescent="0.45"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spans="2:44" s="8" customFormat="1" x14ac:dyDescent="0.45"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spans="2:44" s="8" customFormat="1" x14ac:dyDescent="0.45"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pans="2:44" s="8" customFormat="1" x14ac:dyDescent="0.45"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spans="2:44" s="8" customFormat="1" x14ac:dyDescent="0.45">
      <c r="B34" s="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spans="2:44" s="8" customFormat="1" x14ac:dyDescent="0.45"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spans="2:44" s="8" customFormat="1" x14ac:dyDescent="0.45"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spans="2:44" s="8" customFormat="1" x14ac:dyDescent="0.45"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spans="2:44" s="8" customFormat="1" x14ac:dyDescent="0.45">
      <c r="B38" s="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2:44" s="8" customFormat="1" x14ac:dyDescent="0.45">
      <c r="B39" s="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2:44" s="8" customFormat="1" x14ac:dyDescent="0.45"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pans="2:44" s="8" customFormat="1" x14ac:dyDescent="0.45"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2:44" s="8" customFormat="1" x14ac:dyDescent="0.45"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2:44" s="8" customFormat="1" x14ac:dyDescent="0.45"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2:44" s="8" customFormat="1" x14ac:dyDescent="0.45"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spans="2:44" s="8" customFormat="1" x14ac:dyDescent="0.45">
      <c r="B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</row>
  </sheetData>
  <mergeCells count="29">
    <mergeCell ref="AP2:AR2"/>
    <mergeCell ref="AP9:AR9"/>
    <mergeCell ref="C2:E2"/>
    <mergeCell ref="C9:E9"/>
    <mergeCell ref="F9:H9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  <mergeCell ref="B2:B3"/>
    <mergeCell ref="U9:W9"/>
    <mergeCell ref="AM9:AO9"/>
    <mergeCell ref="X9:Z9"/>
    <mergeCell ref="AA9:AC9"/>
    <mergeCell ref="AD9:AF9"/>
    <mergeCell ref="AG9:AI9"/>
    <mergeCell ref="AJ9:AL9"/>
    <mergeCell ref="I2:K2"/>
    <mergeCell ref="I9:K9"/>
    <mergeCell ref="L9:N9"/>
    <mergeCell ref="O9:Q9"/>
    <mergeCell ref="R9:T9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2024-08-11T16:34:18Z</cp:lastPrinted>
  <dcterms:created xsi:type="dcterms:W3CDTF">2018-11-28T14:19:17Z</dcterms:created>
  <dcterms:modified xsi:type="dcterms:W3CDTF">2025-08-05T15:47:15Z</dcterms:modified>
</cp:coreProperties>
</file>