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31"/>
  <workbookPr updateLinks="never" codeName="ThisWorkbook" defaultThemeVersion="166925"/>
  <mc:AlternateContent xmlns:mc="http://schemas.openxmlformats.org/markup-compatibility/2006">
    <mc:Choice Requires="x15">
      <x15ac:absPath xmlns:x15ac="http://schemas.microsoft.com/office/spreadsheetml/2010/11/ac" url="D:\R.HCMC\activity\M03A08\"/>
    </mc:Choice>
  </mc:AlternateContent>
  <xr:revisionPtr revIDLastSave="0" documentId="13_ncr:1_{A64603C0-6CCF-4AD6-9D1B-E828DA976C3D}" xr6:coauthVersionLast="47" xr6:coauthVersionMax="47" xr10:uidLastSave="{00000000-0000-0000-0000-000000000000}"/>
  <bookViews>
    <workbookView xWindow="-98" yWindow="-98" windowWidth="28996" windowHeight="15675" xr2:uid="{CB4A84EB-58A9-4828-A1EC-5E14AACD60D5}"/>
  </bookViews>
  <sheets>
    <sheet name="Calificacion" sheetId="12" r:id="rId1"/>
    <sheet name="Detalle" sheetId="10" r:id="rId2"/>
  </sheets>
  <definedNames>
    <definedName name="_xlnm.Print_Area" localSheetId="1">Detalle!$B$1:$E$13</definedName>
    <definedName name="_xlnm.Print_Titles" localSheetId="1">Detalle!$1:$3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 i="10" l="1"/>
  <c r="B19" i="12"/>
  <c r="AP13" i="10"/>
  <c r="D18" i="12" s="1"/>
  <c r="F18" i="12" s="1"/>
  <c r="AM13" i="10"/>
  <c r="D17" i="12" s="1"/>
  <c r="F17" i="12" s="1"/>
  <c r="AJ13" i="10"/>
  <c r="D16" i="12" s="1"/>
  <c r="F16" i="12" s="1"/>
  <c r="AG13" i="10"/>
  <c r="D15" i="12" s="1"/>
  <c r="F15" i="12" s="1"/>
  <c r="AD13" i="10"/>
  <c r="D14" i="12" s="1"/>
  <c r="F14" i="12" s="1"/>
  <c r="AA13" i="10"/>
  <c r="X13" i="10"/>
  <c r="U13" i="10"/>
  <c r="R13" i="10"/>
  <c r="O13" i="10"/>
  <c r="L13" i="10"/>
  <c r="I13" i="10"/>
  <c r="F13" i="10"/>
  <c r="AP2" i="10" l="1"/>
  <c r="AM2" i="10"/>
  <c r="AJ2" i="10"/>
  <c r="AG2" i="10"/>
  <c r="AD2" i="10"/>
  <c r="AA2" i="10"/>
  <c r="X2" i="10"/>
  <c r="U2" i="10"/>
  <c r="R2" i="10"/>
  <c r="O2" i="10"/>
  <c r="L2" i="10"/>
  <c r="I2" i="10"/>
  <c r="F2" i="10"/>
  <c r="C2" i="10"/>
  <c r="D10" i="12"/>
  <c r="F10" i="12" s="1"/>
  <c r="C13" i="10" l="1"/>
  <c r="D5" i="12" s="1"/>
  <c r="F5" i="12" s="1"/>
  <c r="D13" i="12" l="1"/>
  <c r="F13" i="12" s="1"/>
  <c r="D12" i="12"/>
  <c r="F12" i="12" s="1"/>
  <c r="D11" i="12"/>
  <c r="F11" i="12" s="1"/>
  <c r="D9" i="12"/>
  <c r="F9" i="12" s="1"/>
  <c r="D8" i="12"/>
  <c r="F8" i="12" s="1"/>
  <c r="D7" i="12"/>
  <c r="F7" i="12" s="1"/>
  <c r="D6" i="12"/>
  <c r="F6" i="12" s="1"/>
</calcChain>
</file>

<file path=xl/sharedStrings.xml><?xml version="1.0" encoding="utf-8"?>
<sst xmlns="http://schemas.openxmlformats.org/spreadsheetml/2006/main" count="73" uniqueCount="33">
  <si>
    <t>Observaciones</t>
  </si>
  <si>
    <t>Calificación</t>
  </si>
  <si>
    <t>Código</t>
  </si>
  <si>
    <t>Requerimiento</t>
  </si>
  <si>
    <t>Valor</t>
  </si>
  <si>
    <t>Crear una línea de perfil en formato shapefile sobre el eje de paso de vía, agregar a perfiles y visualizar a partir del modelo de terreno RAS Mapper.</t>
  </si>
  <si>
    <t>Identificar y eliminar secciones próximas a pasos de vía fuera del tablero. Indicar en una tabla dentro del reporte único, las abscisas de secciones eliminadas y el criterio de exclusión. En el reporte único, mostrar un esquema en planta de las secciones a eliminar.</t>
  </si>
  <si>
    <t>Agregar el tablero y las alcantarillas del paso de vía en grupos de 25 tuberías. En el reporte indique el periodo de diseño a transitar por el paso de vía, la altura de lámina considerada para la sección hidráulica equivalente y esquemas detallados de las secciones transversales de paso de vía y ventanas de definición de parámetros de entrada.</t>
  </si>
  <si>
    <t>Modelar en flujo permanente para diferentes periodos de retorno, incluido el periodo de diseño del paso de vía y hasta el Tr mayor considerado en el diseño hidráulico de la sección compuesta. En el reporte único, incluir caudales de entrada, condiciones de frontera, esquemas de perfiles, secciones transversales, llanura de inundación RAS Mapper, mapa de velocidades y líneas de corriente.</t>
  </si>
  <si>
    <t>Modelar en flujo no permanente el periodo de diseño del paso de vía y para el Tr mayor utilizado en el diseño geométrico de la sección compuesta. En el reporte único, incluir esquemas de hidrograma de entrada y condiciones de frontera, perfiles, secciones transversales, llanura de inundación RAS Mapper y mapa de velocidades. Analizar remansos y desbordamientos y proponer obras adicionales para ajustar la sección del canal principal, justificar técnicamente.</t>
  </si>
  <si>
    <t>Calificar sobre</t>
  </si>
  <si>
    <t>Calificación final</t>
  </si>
  <si>
    <t>Calificación Instructor</t>
  </si>
  <si>
    <t>Autocalificación Alumno</t>
  </si>
  <si>
    <t>Grupo 1</t>
  </si>
  <si>
    <t>Grupo 2</t>
  </si>
  <si>
    <t>Grupo 3</t>
  </si>
  <si>
    <t>Grupo 4</t>
  </si>
  <si>
    <t>Grupo 5</t>
  </si>
  <si>
    <t>Calificación: 3.8. Modelación de pasos de vía en modelos hidráulicos 1D</t>
  </si>
  <si>
    <t>M03A08</t>
  </si>
  <si>
    <t>Grupo 6</t>
  </si>
  <si>
    <t>Grupo 7</t>
  </si>
  <si>
    <t>Grupo 8</t>
  </si>
  <si>
    <t>Grupo 9</t>
  </si>
  <si>
    <t>Grupo 10</t>
  </si>
  <si>
    <t>Grupo 11</t>
  </si>
  <si>
    <t>Grupo 12</t>
  </si>
  <si>
    <t>Grupo 13</t>
  </si>
  <si>
    <t>Grupo 14</t>
  </si>
  <si>
    <t>Luego de realizada las modificaciones en el modelo hidráulico con la inclusión del paso de vía y la modelación funcional, comprimir el modelo como HECRAS_v1b_aaaammdd.zip.</t>
  </si>
  <si>
    <t>Informe técnico mostrando las actividades desarrolladas en el orden presentado en esta actividad, junto con los análisis y recomendaciones realizadas, convierta a Adobe Acrobat (.pdf) y guarde en la carpeta /report del repositorio de datos del proyecto.</t>
  </si>
  <si>
    <t>En el documento soporte incluya capturas de pantalla detalladas de las actividades desarrolladas y observaciones detalladas. Para la revisión se verificará el funcionamiento del modelo, los mapas de llanuras de inundación, análisis de remansos y desbordamientos en caso de que se produzcan y las obras propuestas de mitigación.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</si>
</sst>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sz val="10"/>
      <color theme="1"/>
      <name val="Segoe UI Light"/>
      <family val="2"/>
    </font>
    <font>
      <sz val="11"/>
      <color theme="1"/>
      <name val="Segoe UI Light"/>
      <family val="2"/>
    </font>
    <font>
      <u/>
      <sz val="11"/>
      <color theme="10"/>
      <name val="Calibri"/>
      <family val="2"/>
      <scheme val="minor"/>
    </font>
    <font>
      <sz val="11"/>
      <color theme="1"/>
      <name val="Calibri"/>
      <family val="2"/>
      <scheme val="minor"/>
    </font>
    <font>
      <u/>
      <sz val="10"/>
      <color theme="10"/>
      <name val="Calibri Light"/>
      <family val="2"/>
    </font>
    <font>
      <sz val="10"/>
      <color theme="1"/>
      <name val="Calibri Light"/>
      <family val="2"/>
    </font>
    <font>
      <sz val="10"/>
      <name val="Segoe UI Light"/>
      <family val="2"/>
    </font>
    <font>
      <u/>
      <sz val="10"/>
      <name val="Segoe UI Light"/>
      <family val="2"/>
    </font>
    <font>
      <sz val="8"/>
      <name val="Segoe UI Light"/>
      <family val="2"/>
    </font>
    <font>
      <sz val="8"/>
      <name val="Calibri"/>
      <family val="2"/>
      <scheme val="minor"/>
    </font>
    <font>
      <sz val="8"/>
      <color rgb="FF0070C0"/>
      <name val="Segoe UI Light"/>
      <family val="2"/>
    </font>
    <font>
      <sz val="8"/>
      <color theme="1"/>
      <name val="Segoe UI Light"/>
      <family val="2"/>
    </font>
    <font>
      <sz val="10"/>
      <color rgb="FF0070C0"/>
      <name val="Segoe UI Light"/>
      <family val="2"/>
    </font>
  </fonts>
  <fills count="3">
    <fill>
      <patternFill patternType="none"/>
    </fill>
    <fill>
      <patternFill patternType="gray125"/>
    </fill>
    <fill>
      <patternFill patternType="solid">
        <fgColor theme="0" tint="-4.9989318521683403E-2"/>
        <bgColor indexed="64"/>
      </patternFill>
    </fill>
  </fills>
  <borders count="14">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indexed="64"/>
      </left>
      <right style="thin">
        <color theme="0" tint="-4.9989318521683403E-2"/>
      </right>
      <top style="thin">
        <color indexed="64"/>
      </top>
      <bottom style="thin">
        <color theme="0" tint="-4.9989318521683403E-2"/>
      </bottom>
      <diagonal/>
    </border>
    <border>
      <left style="thin">
        <color theme="0" tint="-4.9989318521683403E-2"/>
      </left>
      <right style="thin">
        <color indexed="64"/>
      </right>
      <top style="thin">
        <color indexed="64"/>
      </top>
      <bottom style="thin">
        <color theme="0" tint="-4.9989318521683403E-2"/>
      </bottom>
      <diagonal/>
    </border>
    <border>
      <left style="thin">
        <color indexed="64"/>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indexed="64"/>
      </right>
      <top style="thin">
        <color theme="0" tint="-4.9989318521683403E-2"/>
      </top>
      <bottom style="thin">
        <color theme="0" tint="-4.9989318521683403E-2"/>
      </bottom>
      <diagonal/>
    </border>
    <border>
      <left style="thin">
        <color indexed="64"/>
      </left>
      <right style="thin">
        <color theme="0" tint="-4.9989318521683403E-2"/>
      </right>
      <top style="thin">
        <color theme="0" tint="-4.9989318521683403E-2"/>
      </top>
      <bottom style="thin">
        <color indexed="64"/>
      </bottom>
      <diagonal/>
    </border>
    <border>
      <left style="thin">
        <color theme="0" tint="-4.9989318521683403E-2"/>
      </left>
      <right style="thin">
        <color indexed="64"/>
      </right>
      <top style="thin">
        <color theme="0" tint="-4.9989318521683403E-2"/>
      </top>
      <bottom style="thin">
        <color indexed="64"/>
      </bottom>
      <diagonal/>
    </border>
    <border>
      <left style="thin">
        <color theme="0" tint="-4.9989318521683403E-2"/>
      </left>
      <right style="thin">
        <color theme="0" tint="-4.9989318521683403E-2"/>
      </right>
      <top style="thin">
        <color indexed="64"/>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indexed="64"/>
      </bottom>
      <diagonal/>
    </border>
    <border>
      <left style="thin">
        <color indexed="64"/>
      </left>
      <right/>
      <top style="thin">
        <color indexed="64"/>
      </top>
      <bottom style="thin">
        <color theme="0" tint="-4.9989318521683403E-2"/>
      </bottom>
      <diagonal/>
    </border>
    <border>
      <left style="thin">
        <color indexed="64"/>
      </left>
      <right/>
      <top style="thin">
        <color theme="0" tint="-4.9989318521683403E-2"/>
      </top>
      <bottom style="thin">
        <color theme="0" tint="-4.9989318521683403E-2"/>
      </bottom>
      <diagonal/>
    </border>
    <border>
      <left style="thin">
        <color indexed="64"/>
      </left>
      <right/>
      <top style="thin">
        <color theme="0" tint="-4.9989318521683403E-2"/>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5" fillId="0" borderId="0" applyNumberFormat="0" applyFill="0" applyBorder="0" applyAlignment="0" applyProtection="0"/>
    <xf numFmtId="0" fontId="6" fillId="0" borderId="0"/>
    <xf numFmtId="0" fontId="4" fillId="0" borderId="0"/>
    <xf numFmtId="43" fontId="6" fillId="0" borderId="0" applyFont="0" applyFill="0" applyBorder="0" applyAlignment="0" applyProtection="0"/>
  </cellStyleXfs>
  <cellXfs count="47">
    <xf numFmtId="0" fontId="0" fillId="0" borderId="0" xfId="0"/>
    <xf numFmtId="0" fontId="7" fillId="0" borderId="0" xfId="4" applyFont="1" applyAlignment="1">
      <alignment horizontal="left" vertical="top"/>
    </xf>
    <xf numFmtId="0" fontId="7" fillId="0" borderId="0" xfId="0" applyFont="1" applyAlignment="1">
      <alignment horizontal="left" vertical="top" wrapText="1"/>
    </xf>
    <xf numFmtId="0" fontId="9" fillId="0" borderId="0" xfId="0" applyFont="1" applyAlignment="1">
      <alignment horizontal="left" vertical="top"/>
    </xf>
    <xf numFmtId="0" fontId="2" fillId="0" borderId="0" xfId="0" applyFont="1" applyAlignment="1">
      <alignment vertical="top"/>
    </xf>
    <xf numFmtId="0" fontId="1" fillId="0" borderId="0" xfId="0" applyFont="1" applyAlignment="1">
      <alignment horizontal="center" vertical="top" wrapText="1"/>
    </xf>
    <xf numFmtId="0" fontId="1" fillId="0" borderId="4" xfId="0" applyFont="1" applyBorder="1" applyAlignment="1">
      <alignment horizontal="center" vertical="top"/>
    </xf>
    <xf numFmtId="0" fontId="8" fillId="0" borderId="0" xfId="2" applyFont="1" applyFill="1" applyAlignment="1">
      <alignment horizontal="right" vertical="top"/>
    </xf>
    <xf numFmtId="0" fontId="9" fillId="0" borderId="0" xfId="1" applyFont="1" applyAlignment="1">
      <alignment horizontal="left" vertical="top"/>
    </xf>
    <xf numFmtId="0" fontId="7" fillId="0" borderId="0" xfId="0" applyFont="1" applyAlignment="1">
      <alignment horizontal="center" vertical="top" wrapText="1"/>
    </xf>
    <xf numFmtId="0" fontId="7" fillId="0" borderId="0" xfId="0" applyFont="1" applyAlignment="1">
      <alignment vertical="top" wrapText="1"/>
    </xf>
    <xf numFmtId="0" fontId="7" fillId="0" borderId="0" xfId="4" applyFont="1" applyAlignment="1">
      <alignment horizontal="right" vertical="top"/>
    </xf>
    <xf numFmtId="0" fontId="7" fillId="0" borderId="0" xfId="0" applyFont="1" applyAlignment="1">
      <alignment vertical="top"/>
    </xf>
    <xf numFmtId="0" fontId="7" fillId="2" borderId="1" xfId="0" applyFont="1" applyFill="1" applyBorder="1" applyAlignment="1">
      <alignment horizontal="center" vertical="top" wrapText="1"/>
    </xf>
    <xf numFmtId="164" fontId="7" fillId="0" borderId="11" xfId="0" applyNumberFormat="1" applyFont="1" applyBorder="1" applyAlignment="1" applyProtection="1">
      <alignment horizontal="left" vertical="top" wrapText="1"/>
      <protection locked="0"/>
    </xf>
    <xf numFmtId="164" fontId="7" fillId="2" borderId="12" xfId="0" applyNumberFormat="1" applyFont="1" applyFill="1" applyBorder="1" applyAlignment="1">
      <alignment horizontal="left" vertical="top" wrapText="1"/>
    </xf>
    <xf numFmtId="0" fontId="7" fillId="2" borderId="4" xfId="0" applyFont="1" applyFill="1" applyBorder="1" applyAlignment="1">
      <alignment horizontal="center" vertical="top" wrapText="1"/>
    </xf>
    <xf numFmtId="0" fontId="7" fillId="2" borderId="5" xfId="0" applyFont="1" applyFill="1" applyBorder="1" applyAlignment="1">
      <alignment horizontal="left" vertical="top" wrapText="1"/>
    </xf>
    <xf numFmtId="0" fontId="2" fillId="2" borderId="2" xfId="0" applyFont="1" applyFill="1" applyBorder="1" applyAlignment="1">
      <alignment horizontal="center" vertical="top" wrapText="1"/>
    </xf>
    <xf numFmtId="0" fontId="2" fillId="2" borderId="8" xfId="0" applyFont="1" applyFill="1" applyBorder="1" applyAlignment="1">
      <alignment horizontal="center" vertical="top" wrapText="1"/>
    </xf>
    <xf numFmtId="0" fontId="2" fillId="2" borderId="3" xfId="0" applyFont="1" applyFill="1" applyBorder="1" applyAlignment="1">
      <alignment horizontal="center" vertical="top" wrapText="1"/>
    </xf>
    <xf numFmtId="2" fontId="7" fillId="0" borderId="1" xfId="0" applyNumberFormat="1" applyFont="1" applyBorder="1" applyAlignment="1">
      <alignment horizontal="center" vertical="top" wrapText="1"/>
    </xf>
    <xf numFmtId="2" fontId="1" fillId="0" borderId="5" xfId="0" applyNumberFormat="1" applyFont="1" applyBorder="1" applyAlignment="1">
      <alignment horizontal="center" vertical="top"/>
    </xf>
    <xf numFmtId="0" fontId="1" fillId="0" borderId="0" xfId="0" applyFont="1" applyAlignment="1">
      <alignment vertical="top" wrapText="1"/>
    </xf>
    <xf numFmtId="0" fontId="7" fillId="0" borderId="0" xfId="1" applyFont="1" applyAlignment="1">
      <alignment horizontal="left" vertical="top"/>
    </xf>
    <xf numFmtId="0" fontId="2" fillId="0" borderId="0" xfId="0" applyFont="1" applyAlignment="1">
      <alignment horizontal="left" vertical="top"/>
    </xf>
    <xf numFmtId="0" fontId="2" fillId="0" borderId="13" xfId="0" applyFont="1" applyBorder="1" applyAlignment="1">
      <alignment horizontal="left" vertical="top"/>
    </xf>
    <xf numFmtId="0" fontId="7" fillId="2" borderId="2" xfId="0" applyFont="1" applyFill="1" applyBorder="1" applyAlignment="1">
      <alignment horizontal="center" vertical="top" wrapText="1"/>
    </xf>
    <xf numFmtId="0" fontId="7" fillId="2" borderId="8" xfId="0" applyFont="1" applyFill="1" applyBorder="1" applyAlignment="1">
      <alignment horizontal="center" vertical="top" wrapText="1"/>
    </xf>
    <xf numFmtId="0" fontId="7" fillId="2" borderId="3" xfId="0" applyFont="1" applyFill="1" applyBorder="1" applyAlignment="1">
      <alignment horizontal="center" vertical="top" wrapText="1"/>
    </xf>
    <xf numFmtId="2" fontId="7" fillId="2" borderId="6" xfId="0" applyNumberFormat="1" applyFont="1" applyFill="1" applyBorder="1" applyAlignment="1">
      <alignment horizontal="center" vertical="top" wrapText="1"/>
    </xf>
    <xf numFmtId="2" fontId="7" fillId="2" borderId="9" xfId="0" applyNumberFormat="1" applyFont="1" applyFill="1" applyBorder="1" applyAlignment="1">
      <alignment horizontal="center" vertical="top" wrapText="1"/>
    </xf>
    <xf numFmtId="0" fontId="7" fillId="2" borderId="7" xfId="0" applyFont="1" applyFill="1" applyBorder="1" applyAlignment="1">
      <alignment horizontal="center" vertical="top" wrapText="1"/>
    </xf>
    <xf numFmtId="0" fontId="7" fillId="2" borderId="10" xfId="0" applyFont="1" applyFill="1" applyBorder="1" applyAlignment="1">
      <alignment horizontal="left" vertical="top" wrapText="1"/>
    </xf>
    <xf numFmtId="0" fontId="7" fillId="2" borderId="11" xfId="0" applyFont="1" applyFill="1" applyBorder="1" applyAlignment="1">
      <alignment horizontal="left" vertical="top" wrapText="1"/>
    </xf>
    <xf numFmtId="0" fontId="1" fillId="0" borderId="6" xfId="0" applyFont="1" applyBorder="1" applyAlignment="1">
      <alignment horizontal="center" vertical="top"/>
    </xf>
    <xf numFmtId="2" fontId="7" fillId="0" borderId="9" xfId="0" applyNumberFormat="1" applyFont="1" applyBorder="1" applyAlignment="1">
      <alignment horizontal="center" vertical="top" wrapText="1"/>
    </xf>
    <xf numFmtId="2" fontId="1" fillId="0" borderId="7" xfId="0" applyNumberFormat="1" applyFont="1" applyBorder="1" applyAlignment="1">
      <alignment horizontal="center" vertical="top"/>
    </xf>
    <xf numFmtId="0" fontId="11" fillId="0" borderId="0" xfId="1" applyFont="1" applyBorder="1" applyAlignment="1">
      <alignment horizontal="left" vertical="top"/>
    </xf>
    <xf numFmtId="0" fontId="12" fillId="0" borderId="0" xfId="0" applyFont="1" applyAlignment="1">
      <alignment horizontal="right" vertical="top"/>
    </xf>
    <xf numFmtId="2" fontId="13" fillId="0" borderId="1" xfId="0" applyNumberFormat="1" applyFont="1" applyBorder="1" applyAlignment="1">
      <alignment horizontal="center" vertical="top"/>
    </xf>
    <xf numFmtId="2" fontId="13" fillId="0" borderId="9" xfId="0" applyNumberFormat="1" applyFont="1" applyBorder="1" applyAlignment="1">
      <alignment horizontal="center" vertical="top"/>
    </xf>
    <xf numFmtId="2" fontId="13" fillId="0" borderId="1" xfId="0" applyNumberFormat="1" applyFont="1" applyBorder="1" applyAlignment="1">
      <alignment horizontal="center" vertical="top" wrapText="1"/>
    </xf>
    <xf numFmtId="2" fontId="13" fillId="0" borderId="9" xfId="0" applyNumberFormat="1" applyFont="1" applyBorder="1" applyAlignment="1">
      <alignment horizontal="center" vertical="top" wrapText="1"/>
    </xf>
    <xf numFmtId="2" fontId="13" fillId="0" borderId="4" xfId="0" applyNumberFormat="1" applyFont="1" applyBorder="1" applyAlignment="1" applyProtection="1">
      <alignment horizontal="center" vertical="top" wrapText="1"/>
      <protection locked="0"/>
    </xf>
    <xf numFmtId="2" fontId="13" fillId="0" borderId="1" xfId="0" applyNumberFormat="1" applyFont="1" applyBorder="1" applyAlignment="1" applyProtection="1">
      <alignment horizontal="center" vertical="top" wrapText="1"/>
      <protection locked="0"/>
    </xf>
    <xf numFmtId="2" fontId="13" fillId="0" borderId="5" xfId="0" applyNumberFormat="1" applyFont="1" applyBorder="1" applyAlignment="1">
      <alignment horizontal="left" vertical="top" wrapText="1"/>
    </xf>
  </cellXfs>
  <cellStyles count="6">
    <cellStyle name="Hipervínculo 2" xfId="2" xr:uid="{31AB4584-48B5-483C-8AA6-C2DF10B27C24}"/>
    <cellStyle name="Hyperlink" xfId="1" builtinId="8"/>
    <cellStyle name="Millares 2" xfId="5" xr:uid="{B2346456-3EA3-414B-995D-FAA581EEA6A8}"/>
    <cellStyle name="Normal" xfId="0" builtinId="0"/>
    <cellStyle name="Normal 2" xfId="4" xr:uid="{5BE8A7FD-F8F9-4363-89EA-43A3CEB9DCAE}"/>
    <cellStyle name="Normal 3" xfId="3" xr:uid="{1BD222BC-86EE-4D01-AA8D-83508C777D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Calificacion!$B$2</c:f>
          <c:strCache>
            <c:ptCount val="1"/>
            <c:pt idx="0">
              <c:v>Calificación: 3.8. Modelación de pasos de vía en modelos hidráulicos 1D</c:v>
            </c:pt>
          </c:strCache>
        </c:strRef>
      </c:tx>
      <c:layout>
        <c:manualLayout>
          <c:xMode val="edge"/>
          <c:yMode val="edge"/>
          <c:x val="0.2020863953874413"/>
          <c:y val="2.446205947601650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autoTitleDeleted val="0"/>
    <c:plotArea>
      <c:layout>
        <c:manualLayout>
          <c:layoutTarget val="inner"/>
          <c:xMode val="edge"/>
          <c:yMode val="edge"/>
          <c:x val="0.13451837270341208"/>
          <c:y val="0.15098556313440298"/>
          <c:w val="0.83492607174103239"/>
          <c:h val="0.56554626414398956"/>
        </c:manualLayout>
      </c:layout>
      <c:barChart>
        <c:barDir val="col"/>
        <c:grouping val="clustered"/>
        <c:varyColors val="0"/>
        <c:ser>
          <c:idx val="1"/>
          <c:order val="0"/>
          <c:tx>
            <c:strRef>
              <c:f>Calificacion!$F$4</c:f>
              <c:strCache>
                <c:ptCount val="1"/>
                <c:pt idx="0">
                  <c:v>Calificación final</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Calificacion!$B$5:$B$9</c:f>
              <c:strCache>
                <c:ptCount val="5"/>
                <c:pt idx="0">
                  <c:v>Grupo 1</c:v>
                </c:pt>
                <c:pt idx="1">
                  <c:v>Grupo 2</c:v>
                </c:pt>
                <c:pt idx="2">
                  <c:v>Grupo 3</c:v>
                </c:pt>
                <c:pt idx="3">
                  <c:v>Grupo 4</c:v>
                </c:pt>
                <c:pt idx="4">
                  <c:v>Grupo 5</c:v>
                </c:pt>
              </c:strCache>
            </c:strRef>
          </c:cat>
          <c:val>
            <c:numRef>
              <c:f>Calificacion!$F$5:$F$9</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0-0008-400B-A26E-B3EF2ECD9D62}"/>
            </c:ext>
          </c:extLst>
        </c:ser>
        <c:dLbls>
          <c:showLegendKey val="0"/>
          <c:showVal val="0"/>
          <c:showCatName val="0"/>
          <c:showSerName val="0"/>
          <c:showPercent val="0"/>
          <c:showBubbleSize val="0"/>
        </c:dLbls>
        <c:gapWidth val="50"/>
        <c:axId val="693552272"/>
        <c:axId val="693552600"/>
      </c:barChart>
      <c:catAx>
        <c:axId val="693552272"/>
        <c:scaling>
          <c:orientation val="minMax"/>
        </c:scaling>
        <c:delete val="0"/>
        <c:axPos val="b"/>
        <c:majorGridlines>
          <c:spPr>
            <a:ln w="6350" cap="flat" cmpd="sng" algn="ctr">
              <a:solidFill>
                <a:schemeClr val="bg1">
                  <a:lumMod val="95000"/>
                </a:schemeClr>
              </a:solidFill>
              <a:prstDash val="sysDot"/>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Código</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General" sourceLinked="1"/>
        <c:majorTickMark val="none"/>
        <c:minorTickMark val="none"/>
        <c:tickLblPos val="nextTo"/>
        <c:spPr>
          <a:noFill/>
          <a:ln w="6350" cap="flat" cmpd="sng" algn="ctr">
            <a:solidFill>
              <a:schemeClr val="tx1"/>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693552600"/>
        <c:crosses val="autoZero"/>
        <c:auto val="1"/>
        <c:lblAlgn val="ctr"/>
        <c:lblOffset val="100"/>
        <c:noMultiLvlLbl val="0"/>
      </c:catAx>
      <c:valAx>
        <c:axId val="693552600"/>
        <c:scaling>
          <c:orientation val="minMax"/>
          <c:max val="5"/>
          <c:min val="0"/>
        </c:scaling>
        <c:delete val="0"/>
        <c:axPos val="l"/>
        <c:majorGridlines>
          <c:spPr>
            <a:ln w="6350" cap="flat" cmpd="sng" algn="ctr">
              <a:solidFill>
                <a:schemeClr val="bg1">
                  <a:lumMod val="95000"/>
                </a:schemeClr>
              </a:solidFill>
              <a:prstDash val="sysDot"/>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r>
                  <a:rPr lang="es-CO"/>
                  <a:t>Calificación</a:t>
                </a:r>
              </a:p>
            </c:rich>
          </c:tx>
          <c:layout>
            <c:manualLayout>
              <c:xMode val="edge"/>
              <c:yMode val="edge"/>
              <c:x val="1.721592592592593E-2"/>
              <c:y val="0.3803424999999999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title>
        <c:numFmt formatCode="0.00" sourceLinked="1"/>
        <c:majorTickMark val="none"/>
        <c:minorTickMark val="none"/>
        <c:tickLblPos val="nextTo"/>
        <c:spPr>
          <a:noFill/>
          <a:ln w="6350">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UI Light" panose="020B0502040204020203" pitchFamily="34" charset="0"/>
                <a:ea typeface="+mn-ea"/>
                <a:cs typeface="Segoe UI Light" panose="020B0502040204020203" pitchFamily="34" charset="0"/>
              </a:defRPr>
            </a:pPr>
            <a:endParaRPr lang="es-CO"/>
          </a:p>
        </c:txPr>
        <c:crossAx val="69355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prstDash val="sysDot"/>
      <a:round/>
    </a:ln>
    <a:effectLst/>
  </c:spPr>
  <c:txPr>
    <a:bodyPr/>
    <a:lstStyle/>
    <a:p>
      <a:pPr>
        <a:defRPr sz="1000">
          <a:solidFill>
            <a:sysClr val="windowText" lastClr="000000"/>
          </a:solidFill>
          <a:latin typeface="Segoe UI Light" panose="020B0502040204020203" pitchFamily="34" charset="0"/>
          <a:cs typeface="Segoe UI Light" panose="020B0502040204020203" pitchFamily="34" charset="0"/>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276116</xdr:colOff>
      <xdr:row>3</xdr:row>
      <xdr:rowOff>18760</xdr:rowOff>
    </xdr:from>
    <xdr:to>
      <xdr:col>14</xdr:col>
      <xdr:colOff>343097</xdr:colOff>
      <xdr:row>17</xdr:row>
      <xdr:rowOff>126500</xdr:rowOff>
    </xdr:to>
    <xdr:graphicFrame macro="">
      <xdr:nvGraphicFramePr>
        <xdr:cNvPr id="2" name="Gráfico 1">
          <a:extLst>
            <a:ext uri="{FF2B5EF4-FFF2-40B4-BE49-F238E27FC236}">
              <a16:creationId xmlns:a16="http://schemas.microsoft.com/office/drawing/2014/main" id="{C2678CA2-DF7A-4F74-9EC7-9B9C21E9A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50BAE-D7A1-4B9B-8511-69070389923C}">
  <sheetPr codeName="Hoja2"/>
  <dimension ref="B1:F21"/>
  <sheetViews>
    <sheetView showGridLines="0" tabSelected="1" zoomScale="130" zoomScaleNormal="130" workbookViewId="0"/>
  </sheetViews>
  <sheetFormatPr defaultColWidth="11.3984375" defaultRowHeight="16.5" x14ac:dyDescent="0.45"/>
  <cols>
    <col min="1" max="1" width="2.6640625" style="4" customWidth="1"/>
    <col min="2" max="2" width="15" style="4" customWidth="1"/>
    <col min="3" max="4" width="13.3984375" style="4" customWidth="1"/>
    <col min="5" max="5" width="14.53125" style="4" customWidth="1"/>
    <col min="6" max="6" width="13.3984375" style="4" customWidth="1"/>
    <col min="7" max="7" width="2.6640625" style="4" customWidth="1"/>
    <col min="8" max="16384" width="11.3984375" style="4"/>
  </cols>
  <sheetData>
    <row r="1" spans="2:6" x14ac:dyDescent="0.45">
      <c r="F1" s="39" t="s">
        <v>20</v>
      </c>
    </row>
    <row r="2" spans="2:6" ht="16.5" customHeight="1" x14ac:dyDescent="0.45">
      <c r="B2" s="25" t="s">
        <v>19</v>
      </c>
      <c r="C2" s="25"/>
      <c r="D2" s="25"/>
      <c r="E2" s="25"/>
      <c r="F2" s="25"/>
    </row>
    <row r="3" spans="2:6" ht="16.5" customHeight="1" x14ac:dyDescent="0.45">
      <c r="B3" s="26"/>
      <c r="C3" s="26"/>
      <c r="D3" s="26"/>
      <c r="E3" s="26"/>
      <c r="F3" s="26"/>
    </row>
    <row r="4" spans="2:6" ht="33" x14ac:dyDescent="0.45">
      <c r="B4" s="18" t="s">
        <v>2</v>
      </c>
      <c r="C4" s="19" t="s">
        <v>10</v>
      </c>
      <c r="D4" s="19" t="s">
        <v>12</v>
      </c>
      <c r="E4" s="19" t="s">
        <v>13</v>
      </c>
      <c r="F4" s="20" t="s">
        <v>11</v>
      </c>
    </row>
    <row r="5" spans="2:6" x14ac:dyDescent="0.45">
      <c r="B5" s="6" t="s">
        <v>14</v>
      </c>
      <c r="C5" s="40">
        <v>5</v>
      </c>
      <c r="D5" s="21">
        <f>Detalle!C13*C5/5</f>
        <v>0</v>
      </c>
      <c r="E5" s="42"/>
      <c r="F5" s="22">
        <f>AVERAGE(D5:E5)</f>
        <v>0</v>
      </c>
    </row>
    <row r="6" spans="2:6" x14ac:dyDescent="0.45">
      <c r="B6" s="6" t="s">
        <v>15</v>
      </c>
      <c r="C6" s="40">
        <v>5</v>
      </c>
      <c r="D6" s="21">
        <f>Detalle!F13*C6/5</f>
        <v>0</v>
      </c>
      <c r="E6" s="42"/>
      <c r="F6" s="22">
        <f t="shared" ref="F6:F18" si="0">AVERAGE(D6:E6)</f>
        <v>0</v>
      </c>
    </row>
    <row r="7" spans="2:6" x14ac:dyDescent="0.45">
      <c r="B7" s="6" t="s">
        <v>16</v>
      </c>
      <c r="C7" s="40">
        <v>5</v>
      </c>
      <c r="D7" s="21">
        <f>Detalle!I13*C7/5</f>
        <v>0</v>
      </c>
      <c r="E7" s="42"/>
      <c r="F7" s="22">
        <f t="shared" si="0"/>
        <v>0</v>
      </c>
    </row>
    <row r="8" spans="2:6" x14ac:dyDescent="0.45">
      <c r="B8" s="6" t="s">
        <v>17</v>
      </c>
      <c r="C8" s="40">
        <v>5</v>
      </c>
      <c r="D8" s="21">
        <f>Detalle!L13*C8/5</f>
        <v>0</v>
      </c>
      <c r="E8" s="42"/>
      <c r="F8" s="22">
        <f t="shared" si="0"/>
        <v>0</v>
      </c>
    </row>
    <row r="9" spans="2:6" x14ac:dyDescent="0.45">
      <c r="B9" s="6" t="s">
        <v>18</v>
      </c>
      <c r="C9" s="40">
        <v>5</v>
      </c>
      <c r="D9" s="21">
        <f>Detalle!O13*C9/5</f>
        <v>0</v>
      </c>
      <c r="E9" s="42"/>
      <c r="F9" s="22">
        <f t="shared" si="0"/>
        <v>0</v>
      </c>
    </row>
    <row r="10" spans="2:6" x14ac:dyDescent="0.45">
      <c r="B10" s="6" t="s">
        <v>21</v>
      </c>
      <c r="C10" s="40">
        <v>5</v>
      </c>
      <c r="D10" s="21">
        <f>Detalle!R13*C10/5</f>
        <v>0</v>
      </c>
      <c r="E10" s="42"/>
      <c r="F10" s="22">
        <f t="shared" si="0"/>
        <v>0</v>
      </c>
    </row>
    <row r="11" spans="2:6" x14ac:dyDescent="0.45">
      <c r="B11" s="6" t="s">
        <v>22</v>
      </c>
      <c r="C11" s="40">
        <v>5</v>
      </c>
      <c r="D11" s="21">
        <f>Detalle!U13*C11/5</f>
        <v>0</v>
      </c>
      <c r="E11" s="42"/>
      <c r="F11" s="22">
        <f t="shared" si="0"/>
        <v>0</v>
      </c>
    </row>
    <row r="12" spans="2:6" x14ac:dyDescent="0.45">
      <c r="B12" s="6" t="s">
        <v>23</v>
      </c>
      <c r="C12" s="40">
        <v>5</v>
      </c>
      <c r="D12" s="21">
        <f>Detalle!X13*C12/5</f>
        <v>0</v>
      </c>
      <c r="E12" s="42"/>
      <c r="F12" s="22">
        <f t="shared" si="0"/>
        <v>0</v>
      </c>
    </row>
    <row r="13" spans="2:6" x14ac:dyDescent="0.45">
      <c r="B13" s="6" t="s">
        <v>24</v>
      </c>
      <c r="C13" s="40">
        <v>5</v>
      </c>
      <c r="D13" s="21">
        <f>Detalle!AA13*C13/5</f>
        <v>0</v>
      </c>
      <c r="E13" s="42"/>
      <c r="F13" s="22">
        <f t="shared" si="0"/>
        <v>0</v>
      </c>
    </row>
    <row r="14" spans="2:6" x14ac:dyDescent="0.45">
      <c r="B14" s="6" t="s">
        <v>25</v>
      </c>
      <c r="C14" s="40">
        <v>5</v>
      </c>
      <c r="D14" s="21">
        <f>Detalle!AD13*C14/5</f>
        <v>0</v>
      </c>
      <c r="E14" s="42"/>
      <c r="F14" s="22">
        <f t="shared" si="0"/>
        <v>0</v>
      </c>
    </row>
    <row r="15" spans="2:6" x14ac:dyDescent="0.45">
      <c r="B15" s="6" t="s">
        <v>26</v>
      </c>
      <c r="C15" s="40">
        <v>5</v>
      </c>
      <c r="D15" s="21">
        <f>Detalle!AG13*C15/5</f>
        <v>0</v>
      </c>
      <c r="E15" s="42"/>
      <c r="F15" s="22">
        <f t="shared" si="0"/>
        <v>0</v>
      </c>
    </row>
    <row r="16" spans="2:6" x14ac:dyDescent="0.45">
      <c r="B16" s="6" t="s">
        <v>27</v>
      </c>
      <c r="C16" s="40">
        <v>5</v>
      </c>
      <c r="D16" s="21">
        <f>Detalle!AJ13*C16/5</f>
        <v>0</v>
      </c>
      <c r="E16" s="42"/>
      <c r="F16" s="22">
        <f t="shared" si="0"/>
        <v>0</v>
      </c>
    </row>
    <row r="17" spans="2:6" x14ac:dyDescent="0.45">
      <c r="B17" s="6" t="s">
        <v>28</v>
      </c>
      <c r="C17" s="40">
        <v>5</v>
      </c>
      <c r="D17" s="21">
        <f>Detalle!AM13*C17/5</f>
        <v>0</v>
      </c>
      <c r="E17" s="42"/>
      <c r="F17" s="22">
        <f t="shared" si="0"/>
        <v>0</v>
      </c>
    </row>
    <row r="18" spans="2:6" x14ac:dyDescent="0.45">
      <c r="B18" s="35" t="s">
        <v>29</v>
      </c>
      <c r="C18" s="41">
        <v>5</v>
      </c>
      <c r="D18" s="36">
        <f>Detalle!AP13*C18/5</f>
        <v>0</v>
      </c>
      <c r="E18" s="43"/>
      <c r="F18" s="37">
        <f t="shared" si="0"/>
        <v>0</v>
      </c>
    </row>
    <row r="19" spans="2:6" ht="16.5" customHeight="1" x14ac:dyDescent="0.45">
      <c r="B19" s="38" t="str">
        <f>HYPERLINK(_xlfn.CONCAT("https://github.com/rcfdtools/R.HCMC/blob/main/activity/",F1,"/Readme.md"),_xlfn.CONCAT("Ir a actividad ",F1," en GitHub."))</f>
        <v>Ir a actividad M03A08 en GitHub.</v>
      </c>
      <c r="C19" s="38"/>
      <c r="D19" s="38"/>
      <c r="E19" s="38"/>
      <c r="F19" s="38"/>
    </row>
    <row r="20" spans="2:6" x14ac:dyDescent="0.45">
      <c r="B20" s="38"/>
      <c r="C20" s="38"/>
      <c r="D20" s="38"/>
      <c r="E20" s="38"/>
      <c r="F20" s="38"/>
    </row>
    <row r="21" spans="2:6" x14ac:dyDescent="0.45">
      <c r="B21" s="23"/>
      <c r="C21" s="23"/>
      <c r="D21" s="23"/>
      <c r="E21" s="5"/>
      <c r="F21" s="5"/>
    </row>
  </sheetData>
  <mergeCells count="3">
    <mergeCell ref="B2:F3"/>
    <mergeCell ref="B19:F19"/>
    <mergeCell ref="B20:F20"/>
  </mergeCells>
  <phoneticPr fontId="10"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987CE-896A-4E26-83D1-1610B3259376}">
  <sheetPr codeName="Hoja1"/>
  <dimension ref="A1:AR49"/>
  <sheetViews>
    <sheetView showGridLines="0" zoomScale="115" zoomScaleNormal="115" workbookViewId="0">
      <pane xSplit="2" ySplit="3" topLeftCell="C4" activePane="bottomRight" state="frozen"/>
      <selection pane="topRight" activeCell="C1" sqref="C1"/>
      <selection pane="bottomLeft" activeCell="A4" sqref="A4"/>
      <selection pane="bottomRight" activeCell="C4" sqref="C4"/>
    </sheetView>
  </sheetViews>
  <sheetFormatPr defaultColWidth="11.3984375" defaultRowHeight="15.4" x14ac:dyDescent="0.45"/>
  <cols>
    <col min="1" max="1" width="2.6640625" style="11" customWidth="1"/>
    <col min="2" max="2" width="60.6640625" style="10" customWidth="1"/>
    <col min="3" max="4" width="10.6640625" style="9" customWidth="1"/>
    <col min="5" max="5" width="50.6640625" style="9" customWidth="1"/>
    <col min="6" max="7" width="10.6640625" style="9" customWidth="1"/>
    <col min="8" max="8" width="50.6640625" style="9" customWidth="1"/>
    <col min="9" max="10" width="10.6640625" style="9" customWidth="1"/>
    <col min="11" max="11" width="50.6640625" style="9" customWidth="1"/>
    <col min="12" max="13" width="10.6640625" style="9" customWidth="1"/>
    <col min="14" max="14" width="50.6640625" style="9" customWidth="1"/>
    <col min="15" max="16" width="10.6640625" style="9" customWidth="1"/>
    <col min="17" max="17" width="50.6640625" style="9" customWidth="1"/>
    <col min="18" max="19" width="10.6640625" style="9" customWidth="1"/>
    <col min="20" max="20" width="50.6640625" style="9" customWidth="1"/>
    <col min="21" max="22" width="10.6640625" style="9" customWidth="1"/>
    <col min="23" max="23" width="50.6640625" style="9" customWidth="1"/>
    <col min="24" max="25" width="10.6640625" style="9" customWidth="1"/>
    <col min="26" max="26" width="50.6640625" style="9" customWidth="1"/>
    <col min="27" max="28" width="10.6640625" style="9" customWidth="1"/>
    <col min="29" max="29" width="50.6640625" style="9" customWidth="1"/>
    <col min="30" max="31" width="10.6640625" style="9" customWidth="1"/>
    <col min="32" max="32" width="50.6640625" style="9" customWidth="1"/>
    <col min="33" max="34" width="10.6640625" style="9" customWidth="1"/>
    <col min="35" max="35" width="50.6640625" style="9" customWidth="1"/>
    <col min="36" max="37" width="10.6640625" style="9" customWidth="1"/>
    <col min="38" max="38" width="50.6640625" style="9" customWidth="1"/>
    <col min="39" max="40" width="10.6640625" style="9" customWidth="1"/>
    <col min="41" max="41" width="50.6640625" style="9" customWidth="1"/>
    <col min="42" max="43" width="10.6640625" style="9" customWidth="1"/>
    <col min="44" max="44" width="50.6640625" style="9" customWidth="1"/>
    <col min="45" max="45" width="11.3984375" style="10" customWidth="1"/>
    <col min="46" max="16384" width="11.3984375" style="10"/>
  </cols>
  <sheetData>
    <row r="1" spans="1:44" x14ac:dyDescent="0.45">
      <c r="A1" s="7"/>
      <c r="B1" s="24" t="str">
        <f>Calificacion!B2</f>
        <v>Calificación: 3.8. Modelación de pasos de vía en modelos hidráulicos 1D</v>
      </c>
      <c r="C1" s="8"/>
      <c r="D1" s="8"/>
      <c r="F1" s="8"/>
      <c r="G1" s="8"/>
      <c r="I1" s="8"/>
      <c r="J1" s="8"/>
      <c r="L1" s="8"/>
      <c r="M1" s="8"/>
      <c r="O1" s="8"/>
      <c r="P1" s="8"/>
      <c r="R1" s="8"/>
      <c r="S1" s="8"/>
      <c r="U1" s="8"/>
      <c r="V1" s="8"/>
      <c r="X1" s="8"/>
      <c r="Y1" s="8"/>
      <c r="AA1" s="8"/>
      <c r="AB1" s="8"/>
      <c r="AD1" s="8"/>
      <c r="AE1" s="8"/>
      <c r="AG1" s="8"/>
      <c r="AH1" s="8"/>
      <c r="AJ1" s="8"/>
      <c r="AK1" s="8"/>
      <c r="AM1" s="8"/>
      <c r="AN1" s="8"/>
      <c r="AP1" s="8"/>
      <c r="AQ1" s="8"/>
    </row>
    <row r="2" spans="1:44" s="12" customFormat="1" x14ac:dyDescent="0.45">
      <c r="A2" s="11"/>
      <c r="B2" s="33" t="s">
        <v>3</v>
      </c>
      <c r="C2" s="27" t="str">
        <f>Calificacion!$B5</f>
        <v>Grupo 1</v>
      </c>
      <c r="D2" s="28"/>
      <c r="E2" s="29"/>
      <c r="F2" s="27" t="str">
        <f>Calificacion!$B6</f>
        <v>Grupo 2</v>
      </c>
      <c r="G2" s="28"/>
      <c r="H2" s="29"/>
      <c r="I2" s="27" t="str">
        <f>Calificacion!$B7</f>
        <v>Grupo 3</v>
      </c>
      <c r="J2" s="28"/>
      <c r="K2" s="29"/>
      <c r="L2" s="27" t="str">
        <f>Calificacion!$B8</f>
        <v>Grupo 4</v>
      </c>
      <c r="M2" s="28"/>
      <c r="N2" s="29"/>
      <c r="O2" s="27" t="str">
        <f>Calificacion!$B9</f>
        <v>Grupo 5</v>
      </c>
      <c r="P2" s="28"/>
      <c r="Q2" s="29"/>
      <c r="R2" s="27" t="str">
        <f>Calificacion!$B10</f>
        <v>Grupo 6</v>
      </c>
      <c r="S2" s="28"/>
      <c r="T2" s="29"/>
      <c r="U2" s="27" t="str">
        <f>Calificacion!$B11</f>
        <v>Grupo 7</v>
      </c>
      <c r="V2" s="28"/>
      <c r="W2" s="29"/>
      <c r="X2" s="27" t="str">
        <f>Calificacion!$B12</f>
        <v>Grupo 8</v>
      </c>
      <c r="Y2" s="28"/>
      <c r="Z2" s="29"/>
      <c r="AA2" s="27" t="str">
        <f>Calificacion!$B13</f>
        <v>Grupo 9</v>
      </c>
      <c r="AB2" s="28"/>
      <c r="AC2" s="29"/>
      <c r="AD2" s="27" t="str">
        <f>Calificacion!$B14</f>
        <v>Grupo 10</v>
      </c>
      <c r="AE2" s="28"/>
      <c r="AF2" s="29"/>
      <c r="AG2" s="27" t="str">
        <f>Calificacion!$B15</f>
        <v>Grupo 11</v>
      </c>
      <c r="AH2" s="28"/>
      <c r="AI2" s="29"/>
      <c r="AJ2" s="27" t="str">
        <f>Calificacion!$B16</f>
        <v>Grupo 12</v>
      </c>
      <c r="AK2" s="28"/>
      <c r="AL2" s="29"/>
      <c r="AM2" s="27" t="str">
        <f>Calificacion!$B17</f>
        <v>Grupo 13</v>
      </c>
      <c r="AN2" s="28"/>
      <c r="AO2" s="29"/>
      <c r="AP2" s="27" t="str">
        <f>Calificacion!$B18</f>
        <v>Grupo 14</v>
      </c>
      <c r="AQ2" s="28"/>
      <c r="AR2" s="29"/>
    </row>
    <row r="3" spans="1:44" x14ac:dyDescent="0.45">
      <c r="B3" s="34"/>
      <c r="C3" s="16" t="s">
        <v>1</v>
      </c>
      <c r="D3" s="13" t="s">
        <v>4</v>
      </c>
      <c r="E3" s="17" t="s">
        <v>0</v>
      </c>
      <c r="F3" s="16" t="s">
        <v>1</v>
      </c>
      <c r="G3" s="13" t="s">
        <v>4</v>
      </c>
      <c r="H3" s="17" t="s">
        <v>0</v>
      </c>
      <c r="I3" s="16" t="s">
        <v>1</v>
      </c>
      <c r="J3" s="13" t="s">
        <v>4</v>
      </c>
      <c r="K3" s="17" t="s">
        <v>0</v>
      </c>
      <c r="L3" s="16" t="s">
        <v>1</v>
      </c>
      <c r="M3" s="13" t="s">
        <v>4</v>
      </c>
      <c r="N3" s="17" t="s">
        <v>0</v>
      </c>
      <c r="O3" s="16" t="s">
        <v>1</v>
      </c>
      <c r="P3" s="13" t="s">
        <v>4</v>
      </c>
      <c r="Q3" s="17" t="s">
        <v>0</v>
      </c>
      <c r="R3" s="16" t="s">
        <v>1</v>
      </c>
      <c r="S3" s="13" t="s">
        <v>4</v>
      </c>
      <c r="T3" s="17" t="s">
        <v>0</v>
      </c>
      <c r="U3" s="16" t="s">
        <v>1</v>
      </c>
      <c r="V3" s="13" t="s">
        <v>4</v>
      </c>
      <c r="W3" s="17" t="s">
        <v>0</v>
      </c>
      <c r="X3" s="16" t="s">
        <v>1</v>
      </c>
      <c r="Y3" s="13" t="s">
        <v>4</v>
      </c>
      <c r="Z3" s="17" t="s">
        <v>0</v>
      </c>
      <c r="AA3" s="16" t="s">
        <v>1</v>
      </c>
      <c r="AB3" s="13" t="s">
        <v>4</v>
      </c>
      <c r="AC3" s="17" t="s">
        <v>0</v>
      </c>
      <c r="AD3" s="16" t="s">
        <v>1</v>
      </c>
      <c r="AE3" s="13" t="s">
        <v>4</v>
      </c>
      <c r="AF3" s="17" t="s">
        <v>0</v>
      </c>
      <c r="AG3" s="16" t="s">
        <v>1</v>
      </c>
      <c r="AH3" s="13" t="s">
        <v>4</v>
      </c>
      <c r="AI3" s="17" t="s">
        <v>0</v>
      </c>
      <c r="AJ3" s="16" t="s">
        <v>1</v>
      </c>
      <c r="AK3" s="13" t="s">
        <v>4</v>
      </c>
      <c r="AL3" s="17" t="s">
        <v>0</v>
      </c>
      <c r="AM3" s="16" t="s">
        <v>1</v>
      </c>
      <c r="AN3" s="13" t="s">
        <v>4</v>
      </c>
      <c r="AO3" s="17" t="s">
        <v>0</v>
      </c>
      <c r="AP3" s="16" t="s">
        <v>1</v>
      </c>
      <c r="AQ3" s="13" t="s">
        <v>4</v>
      </c>
      <c r="AR3" s="17" t="s">
        <v>0</v>
      </c>
    </row>
    <row r="4" spans="1:44" ht="39.5" customHeight="1" x14ac:dyDescent="0.45">
      <c r="B4" s="14" t="s">
        <v>5</v>
      </c>
      <c r="C4" s="44">
        <v>0</v>
      </c>
      <c r="D4" s="45"/>
      <c r="E4" s="46"/>
      <c r="F4" s="44">
        <v>0</v>
      </c>
      <c r="G4" s="45"/>
      <c r="H4" s="46"/>
      <c r="I4" s="44">
        <v>0</v>
      </c>
      <c r="J4" s="45"/>
      <c r="K4" s="46"/>
      <c r="L4" s="44">
        <v>0</v>
      </c>
      <c r="M4" s="45"/>
      <c r="N4" s="46"/>
      <c r="O4" s="44">
        <v>0</v>
      </c>
      <c r="P4" s="45"/>
      <c r="Q4" s="46"/>
      <c r="R4" s="44">
        <v>0</v>
      </c>
      <c r="S4" s="45"/>
      <c r="T4" s="46"/>
      <c r="U4" s="44">
        <v>0</v>
      </c>
      <c r="V4" s="45"/>
      <c r="W4" s="46"/>
      <c r="X4" s="44">
        <v>0</v>
      </c>
      <c r="Y4" s="45"/>
      <c r="Z4" s="46"/>
      <c r="AA4" s="44">
        <v>0</v>
      </c>
      <c r="AB4" s="45"/>
      <c r="AC4" s="46"/>
      <c r="AD4" s="44">
        <v>0</v>
      </c>
      <c r="AE4" s="45"/>
      <c r="AF4" s="46"/>
      <c r="AG4" s="44">
        <v>0</v>
      </c>
      <c r="AH4" s="45"/>
      <c r="AI4" s="46"/>
      <c r="AJ4" s="44">
        <v>0</v>
      </c>
      <c r="AK4" s="45"/>
      <c r="AL4" s="46"/>
      <c r="AM4" s="44">
        <v>0</v>
      </c>
      <c r="AN4" s="45"/>
      <c r="AO4" s="46"/>
      <c r="AP4" s="44">
        <v>0</v>
      </c>
      <c r="AQ4" s="45"/>
      <c r="AR4" s="46"/>
    </row>
    <row r="5" spans="1:44" ht="68.650000000000006" customHeight="1" x14ac:dyDescent="0.45">
      <c r="B5" s="14" t="s">
        <v>6</v>
      </c>
      <c r="C5" s="44"/>
      <c r="D5" s="45"/>
      <c r="E5" s="46"/>
      <c r="F5" s="44"/>
      <c r="G5" s="45"/>
      <c r="H5" s="46"/>
      <c r="I5" s="44"/>
      <c r="J5" s="45"/>
      <c r="K5" s="46"/>
      <c r="L5" s="44"/>
      <c r="M5" s="45"/>
      <c r="N5" s="46"/>
      <c r="O5" s="44"/>
      <c r="P5" s="45"/>
      <c r="Q5" s="46"/>
      <c r="R5" s="44"/>
      <c r="S5" s="45"/>
      <c r="T5" s="46"/>
      <c r="U5" s="44"/>
      <c r="V5" s="45"/>
      <c r="W5" s="46"/>
      <c r="X5" s="44"/>
      <c r="Y5" s="45"/>
      <c r="Z5" s="46"/>
      <c r="AA5" s="44"/>
      <c r="AB5" s="45"/>
      <c r="AC5" s="46"/>
      <c r="AD5" s="44"/>
      <c r="AE5" s="45"/>
      <c r="AF5" s="46"/>
      <c r="AG5" s="44"/>
      <c r="AH5" s="45"/>
      <c r="AI5" s="46"/>
      <c r="AJ5" s="44"/>
      <c r="AK5" s="45"/>
      <c r="AL5" s="46"/>
      <c r="AM5" s="44"/>
      <c r="AN5" s="45"/>
      <c r="AO5" s="46"/>
      <c r="AP5" s="44"/>
      <c r="AQ5" s="45"/>
      <c r="AR5" s="46"/>
    </row>
    <row r="6" spans="1:44" ht="81.95" customHeight="1" x14ac:dyDescent="0.45">
      <c r="B6" s="14" t="s">
        <v>7</v>
      </c>
      <c r="C6" s="44"/>
      <c r="D6" s="45"/>
      <c r="E6" s="46"/>
      <c r="F6" s="44"/>
      <c r="G6" s="45"/>
      <c r="H6" s="46"/>
      <c r="I6" s="44"/>
      <c r="J6" s="45"/>
      <c r="K6" s="46"/>
      <c r="L6" s="44"/>
      <c r="M6" s="45"/>
      <c r="N6" s="46"/>
      <c r="O6" s="44"/>
      <c r="P6" s="45"/>
      <c r="Q6" s="46"/>
      <c r="R6" s="44"/>
      <c r="S6" s="45"/>
      <c r="T6" s="46"/>
      <c r="U6" s="44"/>
      <c r="V6" s="45"/>
      <c r="W6" s="46"/>
      <c r="X6" s="44"/>
      <c r="Y6" s="45"/>
      <c r="Z6" s="46"/>
      <c r="AA6" s="44"/>
      <c r="AB6" s="45"/>
      <c r="AC6" s="46"/>
      <c r="AD6" s="44"/>
      <c r="AE6" s="45"/>
      <c r="AF6" s="46"/>
      <c r="AG6" s="44"/>
      <c r="AH6" s="45"/>
      <c r="AI6" s="46"/>
      <c r="AJ6" s="44"/>
      <c r="AK6" s="45"/>
      <c r="AL6" s="46"/>
      <c r="AM6" s="44"/>
      <c r="AN6" s="45"/>
      <c r="AO6" s="46"/>
      <c r="AP6" s="44"/>
      <c r="AQ6" s="45"/>
      <c r="AR6" s="46"/>
    </row>
    <row r="7" spans="1:44" ht="81.95" customHeight="1" x14ac:dyDescent="0.45">
      <c r="B7" s="14" t="s">
        <v>8</v>
      </c>
      <c r="C7" s="44"/>
      <c r="D7" s="45"/>
      <c r="E7" s="46"/>
      <c r="F7" s="44"/>
      <c r="G7" s="45"/>
      <c r="H7" s="46"/>
      <c r="I7" s="44"/>
      <c r="J7" s="45"/>
      <c r="K7" s="46"/>
      <c r="L7" s="44"/>
      <c r="M7" s="45"/>
      <c r="N7" s="46"/>
      <c r="O7" s="44"/>
      <c r="P7" s="45"/>
      <c r="Q7" s="46"/>
      <c r="R7" s="44"/>
      <c r="S7" s="45"/>
      <c r="T7" s="46"/>
      <c r="U7" s="44"/>
      <c r="V7" s="45"/>
      <c r="W7" s="46"/>
      <c r="X7" s="44"/>
      <c r="Y7" s="45"/>
      <c r="Z7" s="46"/>
      <c r="AA7" s="44"/>
      <c r="AB7" s="45"/>
      <c r="AC7" s="46"/>
      <c r="AD7" s="44"/>
      <c r="AE7" s="45"/>
      <c r="AF7" s="46"/>
      <c r="AG7" s="44"/>
      <c r="AH7" s="45"/>
      <c r="AI7" s="46"/>
      <c r="AJ7" s="44"/>
      <c r="AK7" s="45"/>
      <c r="AL7" s="46"/>
      <c r="AM7" s="44"/>
      <c r="AN7" s="45"/>
      <c r="AO7" s="46"/>
      <c r="AP7" s="44"/>
      <c r="AQ7" s="45"/>
      <c r="AR7" s="46"/>
    </row>
    <row r="8" spans="1:44" ht="94.35" customHeight="1" x14ac:dyDescent="0.45">
      <c r="B8" s="14" t="s">
        <v>9</v>
      </c>
      <c r="C8" s="44"/>
      <c r="D8" s="45"/>
      <c r="E8" s="46"/>
      <c r="F8" s="44"/>
      <c r="G8" s="45"/>
      <c r="H8" s="46"/>
      <c r="I8" s="44"/>
      <c r="J8" s="45"/>
      <c r="K8" s="46"/>
      <c r="L8" s="44"/>
      <c r="M8" s="45"/>
      <c r="N8" s="46"/>
      <c r="O8" s="44"/>
      <c r="P8" s="45"/>
      <c r="Q8" s="46"/>
      <c r="R8" s="44"/>
      <c r="S8" s="45"/>
      <c r="T8" s="46"/>
      <c r="U8" s="44"/>
      <c r="V8" s="45"/>
      <c r="W8" s="46"/>
      <c r="X8" s="44"/>
      <c r="Y8" s="45"/>
      <c r="Z8" s="46"/>
      <c r="AA8" s="44"/>
      <c r="AB8" s="45"/>
      <c r="AC8" s="46"/>
      <c r="AD8" s="44"/>
      <c r="AE8" s="45"/>
      <c r="AF8" s="46"/>
      <c r="AG8" s="44"/>
      <c r="AH8" s="45"/>
      <c r="AI8" s="46"/>
      <c r="AJ8" s="44"/>
      <c r="AK8" s="45"/>
      <c r="AL8" s="46"/>
      <c r="AM8" s="44"/>
      <c r="AN8" s="45"/>
      <c r="AO8" s="46"/>
      <c r="AP8" s="44"/>
      <c r="AQ8" s="45"/>
      <c r="AR8" s="46"/>
    </row>
    <row r="9" spans="1:44" ht="46.15" x14ac:dyDescent="0.45">
      <c r="B9" s="14" t="s">
        <v>30</v>
      </c>
      <c r="C9" s="44"/>
      <c r="D9" s="45"/>
      <c r="E9" s="46"/>
      <c r="F9" s="44"/>
      <c r="G9" s="45"/>
      <c r="H9" s="46"/>
      <c r="I9" s="44"/>
      <c r="J9" s="45"/>
      <c r="K9" s="46"/>
      <c r="L9" s="44"/>
      <c r="M9" s="45"/>
      <c r="N9" s="46"/>
      <c r="O9" s="44"/>
      <c r="P9" s="45"/>
      <c r="Q9" s="46"/>
      <c r="R9" s="44"/>
      <c r="S9" s="45"/>
      <c r="T9" s="46"/>
      <c r="U9" s="44"/>
      <c r="V9" s="45"/>
      <c r="W9" s="46"/>
      <c r="X9" s="44"/>
      <c r="Y9" s="45"/>
      <c r="Z9" s="46"/>
      <c r="AA9" s="44"/>
      <c r="AB9" s="45"/>
      <c r="AC9" s="46"/>
      <c r="AD9" s="44"/>
      <c r="AE9" s="45"/>
      <c r="AF9" s="46"/>
      <c r="AG9" s="44"/>
      <c r="AH9" s="45"/>
      <c r="AI9" s="46"/>
      <c r="AJ9" s="44"/>
      <c r="AK9" s="45"/>
      <c r="AL9" s="46"/>
      <c r="AM9" s="44"/>
      <c r="AN9" s="45"/>
      <c r="AO9" s="46"/>
      <c r="AP9" s="44"/>
      <c r="AQ9" s="45"/>
      <c r="AR9" s="46"/>
    </row>
    <row r="10" spans="1:44" ht="76.900000000000006" x14ac:dyDescent="0.45">
      <c r="B10" s="14" t="s">
        <v>32</v>
      </c>
      <c r="C10" s="44"/>
      <c r="D10" s="45"/>
      <c r="E10" s="46"/>
      <c r="F10" s="44"/>
      <c r="G10" s="45"/>
      <c r="H10" s="46"/>
      <c r="I10" s="44"/>
      <c r="J10" s="45"/>
      <c r="K10" s="46"/>
      <c r="L10" s="44"/>
      <c r="M10" s="45"/>
      <c r="N10" s="46"/>
      <c r="O10" s="44"/>
      <c r="P10" s="45"/>
      <c r="Q10" s="46"/>
      <c r="R10" s="44"/>
      <c r="S10" s="45"/>
      <c r="T10" s="46"/>
      <c r="U10" s="44"/>
      <c r="V10" s="45"/>
      <c r="W10" s="46"/>
      <c r="X10" s="44"/>
      <c r="Y10" s="45"/>
      <c r="Z10" s="46"/>
      <c r="AA10" s="44"/>
      <c r="AB10" s="45"/>
      <c r="AC10" s="46"/>
      <c r="AD10" s="44"/>
      <c r="AE10" s="45"/>
      <c r="AF10" s="46"/>
      <c r="AG10" s="44"/>
      <c r="AH10" s="45"/>
      <c r="AI10" s="46"/>
      <c r="AJ10" s="44"/>
      <c r="AK10" s="45"/>
      <c r="AL10" s="46"/>
      <c r="AM10" s="44"/>
      <c r="AN10" s="45"/>
      <c r="AO10" s="46"/>
      <c r="AP10" s="44"/>
      <c r="AQ10" s="45"/>
      <c r="AR10" s="46"/>
    </row>
    <row r="11" spans="1:44" ht="61.5" x14ac:dyDescent="0.45">
      <c r="B11" s="14" t="s">
        <v>31</v>
      </c>
      <c r="C11" s="44"/>
      <c r="D11" s="45"/>
      <c r="E11" s="46"/>
      <c r="F11" s="44"/>
      <c r="G11" s="45"/>
      <c r="H11" s="46"/>
      <c r="I11" s="44"/>
      <c r="J11" s="45"/>
      <c r="K11" s="46"/>
      <c r="L11" s="44"/>
      <c r="M11" s="45"/>
      <c r="N11" s="46"/>
      <c r="O11" s="44"/>
      <c r="P11" s="45"/>
      <c r="Q11" s="46"/>
      <c r="R11" s="44"/>
      <c r="S11" s="45"/>
      <c r="T11" s="46"/>
      <c r="U11" s="44"/>
      <c r="V11" s="45"/>
      <c r="W11" s="46"/>
      <c r="X11" s="44"/>
      <c r="Y11" s="45"/>
      <c r="Z11" s="46"/>
      <c r="AA11" s="44"/>
      <c r="AB11" s="45"/>
      <c r="AC11" s="46"/>
      <c r="AD11" s="44"/>
      <c r="AE11" s="45"/>
      <c r="AF11" s="46"/>
      <c r="AG11" s="44"/>
      <c r="AH11" s="45"/>
      <c r="AI11" s="46"/>
      <c r="AJ11" s="44"/>
      <c r="AK11" s="45"/>
      <c r="AL11" s="46"/>
      <c r="AM11" s="44"/>
      <c r="AN11" s="45"/>
      <c r="AO11" s="46"/>
      <c r="AP11" s="44"/>
      <c r="AQ11" s="45"/>
      <c r="AR11" s="46"/>
    </row>
    <row r="12" spans="1:44" x14ac:dyDescent="0.45">
      <c r="B12" s="14"/>
      <c r="C12" s="44"/>
      <c r="D12" s="45"/>
      <c r="E12" s="46"/>
      <c r="F12" s="44"/>
      <c r="G12" s="45"/>
      <c r="H12" s="46"/>
      <c r="I12" s="44"/>
      <c r="J12" s="45"/>
      <c r="K12" s="46"/>
      <c r="L12" s="44"/>
      <c r="M12" s="45"/>
      <c r="N12" s="46"/>
      <c r="O12" s="44"/>
      <c r="P12" s="45"/>
      <c r="Q12" s="46"/>
      <c r="R12" s="44"/>
      <c r="S12" s="45"/>
      <c r="T12" s="46"/>
      <c r="U12" s="44"/>
      <c r="V12" s="45"/>
      <c r="W12" s="46"/>
      <c r="X12" s="44"/>
      <c r="Y12" s="45"/>
      <c r="Z12" s="46"/>
      <c r="AA12" s="44"/>
      <c r="AB12" s="45"/>
      <c r="AC12" s="46"/>
      <c r="AD12" s="44"/>
      <c r="AE12" s="45"/>
      <c r="AF12" s="46"/>
      <c r="AG12" s="44"/>
      <c r="AH12" s="45"/>
      <c r="AI12" s="46"/>
      <c r="AJ12" s="44"/>
      <c r="AK12" s="45"/>
      <c r="AL12" s="46"/>
      <c r="AM12" s="44"/>
      <c r="AN12" s="45"/>
      <c r="AO12" s="46"/>
      <c r="AP12" s="44"/>
      <c r="AQ12" s="45"/>
      <c r="AR12" s="46"/>
    </row>
    <row r="13" spans="1:44" s="2" customFormat="1" x14ac:dyDescent="0.45">
      <c r="A13" s="1"/>
      <c r="B13" s="15" t="s">
        <v>1</v>
      </c>
      <c r="C13" s="30">
        <f>AVERAGE(C4:C12)</f>
        <v>0</v>
      </c>
      <c r="D13" s="31"/>
      <c r="E13" s="32"/>
      <c r="F13" s="30">
        <f>AVERAGE(F4:F12)</f>
        <v>0</v>
      </c>
      <c r="G13" s="31"/>
      <c r="H13" s="32"/>
      <c r="I13" s="30">
        <f>AVERAGE(I4:I12)</f>
        <v>0</v>
      </c>
      <c r="J13" s="31"/>
      <c r="K13" s="32"/>
      <c r="L13" s="30">
        <f>AVERAGE(L4:L12)</f>
        <v>0</v>
      </c>
      <c r="M13" s="31"/>
      <c r="N13" s="32"/>
      <c r="O13" s="30">
        <f>AVERAGE(O4:O12)</f>
        <v>0</v>
      </c>
      <c r="P13" s="31"/>
      <c r="Q13" s="32"/>
      <c r="R13" s="30">
        <f>AVERAGE(R4:R12)</f>
        <v>0</v>
      </c>
      <c r="S13" s="31"/>
      <c r="T13" s="32"/>
      <c r="U13" s="30">
        <f>AVERAGE(U4:U12)</f>
        <v>0</v>
      </c>
      <c r="V13" s="31"/>
      <c r="W13" s="32"/>
      <c r="X13" s="30">
        <f>AVERAGE(X4:X12)</f>
        <v>0</v>
      </c>
      <c r="Y13" s="31"/>
      <c r="Z13" s="32"/>
      <c r="AA13" s="30">
        <f>AVERAGE(AA4:AA12)</f>
        <v>0</v>
      </c>
      <c r="AB13" s="31"/>
      <c r="AC13" s="32"/>
      <c r="AD13" s="30">
        <f>AVERAGE(AD4:AD12)</f>
        <v>0</v>
      </c>
      <c r="AE13" s="31"/>
      <c r="AF13" s="32"/>
      <c r="AG13" s="30">
        <f>AVERAGE(AG4:AG12)</f>
        <v>0</v>
      </c>
      <c r="AH13" s="31"/>
      <c r="AI13" s="32"/>
      <c r="AJ13" s="30">
        <f>AVERAGE(AJ4:AJ12)</f>
        <v>0</v>
      </c>
      <c r="AK13" s="31"/>
      <c r="AL13" s="32"/>
      <c r="AM13" s="30">
        <f>AVERAGE(AM4:AM12)</f>
        <v>0</v>
      </c>
      <c r="AN13" s="31"/>
      <c r="AO13" s="32"/>
      <c r="AP13" s="30">
        <f>AVERAGE(AP4:AP12)</f>
        <v>0</v>
      </c>
      <c r="AQ13" s="31"/>
      <c r="AR13" s="32"/>
    </row>
    <row r="14" spans="1:44" s="11" customFormat="1" x14ac:dyDescent="0.45">
      <c r="B14" s="3"/>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row>
    <row r="15" spans="1:44" s="11" customFormat="1" x14ac:dyDescent="0.45">
      <c r="B15" s="10"/>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s="11" customFormat="1" x14ac:dyDescent="0.45">
      <c r="B16" s="10"/>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row>
    <row r="17" spans="2:44" s="11" customFormat="1" x14ac:dyDescent="0.45">
      <c r="B17" s="10"/>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2:44" s="11" customFormat="1" x14ac:dyDescent="0.45">
      <c r="B18" s="10"/>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row>
    <row r="19" spans="2:44" s="11" customFormat="1" x14ac:dyDescent="0.45">
      <c r="B19" s="10"/>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row>
    <row r="20" spans="2:44" s="11" customFormat="1" x14ac:dyDescent="0.45">
      <c r="B20" s="10"/>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row>
    <row r="21" spans="2:44" s="11" customFormat="1" x14ac:dyDescent="0.45">
      <c r="B21" s="10"/>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row>
    <row r="22" spans="2:44" s="11" customFormat="1" x14ac:dyDescent="0.45">
      <c r="B22" s="10"/>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row>
    <row r="23" spans="2:44" s="11" customFormat="1" x14ac:dyDescent="0.45">
      <c r="B23" s="10"/>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row>
    <row r="24" spans="2:44" s="11" customFormat="1" x14ac:dyDescent="0.45">
      <c r="B24" s="10"/>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row>
    <row r="25" spans="2:44" s="11" customFormat="1" x14ac:dyDescent="0.45">
      <c r="B25" s="10"/>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row>
    <row r="26" spans="2:44" s="11" customFormat="1" x14ac:dyDescent="0.45">
      <c r="B26" s="10"/>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row>
    <row r="27" spans="2:44" s="11" customFormat="1" x14ac:dyDescent="0.45">
      <c r="B27" s="10"/>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row>
    <row r="28" spans="2:44" s="11" customFormat="1" x14ac:dyDescent="0.45">
      <c r="B28" s="10"/>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row>
    <row r="29" spans="2:44" s="11" customFormat="1" x14ac:dyDescent="0.45">
      <c r="B29" s="10"/>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row>
    <row r="30" spans="2:44" s="11" customFormat="1" x14ac:dyDescent="0.45">
      <c r="B30" s="10"/>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row>
    <row r="31" spans="2:44" s="11" customFormat="1" x14ac:dyDescent="0.45">
      <c r="B31" s="10"/>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row>
    <row r="32" spans="2:44" s="11" customFormat="1" x14ac:dyDescent="0.45">
      <c r="B32" s="10"/>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row>
    <row r="33" spans="2:44" s="11" customFormat="1" x14ac:dyDescent="0.45">
      <c r="B33" s="10"/>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row>
    <row r="34" spans="2:44" s="11" customFormat="1" x14ac:dyDescent="0.45">
      <c r="B34" s="10"/>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row>
    <row r="35" spans="2:44" s="11" customFormat="1" x14ac:dyDescent="0.45">
      <c r="B35" s="10"/>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row>
    <row r="36" spans="2:44" s="11" customFormat="1" x14ac:dyDescent="0.45">
      <c r="B36" s="10"/>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row>
    <row r="37" spans="2:44" s="11" customFormat="1" x14ac:dyDescent="0.45">
      <c r="B37" s="10"/>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row>
    <row r="38" spans="2:44" s="11" customFormat="1" x14ac:dyDescent="0.45">
      <c r="B38" s="10"/>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row>
    <row r="39" spans="2:44" s="11" customFormat="1" x14ac:dyDescent="0.45">
      <c r="B39" s="10"/>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row>
    <row r="40" spans="2:44" s="11" customFormat="1" x14ac:dyDescent="0.45">
      <c r="B40" s="10"/>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row>
    <row r="41" spans="2:44" s="11" customFormat="1" x14ac:dyDescent="0.45">
      <c r="B41" s="10"/>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row>
    <row r="42" spans="2:44" s="11" customFormat="1" x14ac:dyDescent="0.45">
      <c r="B42" s="10"/>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row>
    <row r="43" spans="2:44" s="11" customFormat="1" x14ac:dyDescent="0.45">
      <c r="B43" s="10"/>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row>
    <row r="44" spans="2:44" s="11" customFormat="1" x14ac:dyDescent="0.45">
      <c r="B44" s="10"/>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row>
    <row r="45" spans="2:44" s="11" customFormat="1" x14ac:dyDescent="0.45">
      <c r="B45" s="10"/>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row>
    <row r="46" spans="2:44" s="11" customFormat="1" x14ac:dyDescent="0.45">
      <c r="B46" s="10"/>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row>
    <row r="47" spans="2:44" s="11" customFormat="1" x14ac:dyDescent="0.45">
      <c r="B47" s="10"/>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row>
    <row r="48" spans="2:44" s="11" customFormat="1" x14ac:dyDescent="0.45">
      <c r="B48" s="10"/>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row>
    <row r="49" spans="2:44" s="11" customFormat="1" x14ac:dyDescent="0.45">
      <c r="B49" s="10"/>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row>
  </sheetData>
  <mergeCells count="29">
    <mergeCell ref="B2:B3"/>
    <mergeCell ref="U13:W13"/>
    <mergeCell ref="AM13:AO13"/>
    <mergeCell ref="X13:Z13"/>
    <mergeCell ref="AA13:AC13"/>
    <mergeCell ref="AD13:AF13"/>
    <mergeCell ref="AG13:AI13"/>
    <mergeCell ref="AJ13:AL13"/>
    <mergeCell ref="I2:K2"/>
    <mergeCell ref="I13:K13"/>
    <mergeCell ref="L13:N13"/>
    <mergeCell ref="O13:Q13"/>
    <mergeCell ref="R13:T13"/>
    <mergeCell ref="AP2:AR2"/>
    <mergeCell ref="AP13:AR13"/>
    <mergeCell ref="C2:E2"/>
    <mergeCell ref="C13:E13"/>
    <mergeCell ref="F13:H13"/>
    <mergeCell ref="AJ2:AL2"/>
    <mergeCell ref="AM2:AO2"/>
    <mergeCell ref="AG2:AI2"/>
    <mergeCell ref="AD2:AF2"/>
    <mergeCell ref="AA2:AC2"/>
    <mergeCell ref="X2:Z2"/>
    <mergeCell ref="O2:Q2"/>
    <mergeCell ref="F2:H2"/>
    <mergeCell ref="U2:W2"/>
    <mergeCell ref="R2:T2"/>
    <mergeCell ref="L2:N2"/>
  </mergeCells>
  <printOptions horizontalCentered="1"/>
  <pageMargins left="0.23622047244094491" right="0.23622047244094491" top="0.74803149606299213" bottom="0.74803149606299213" header="0.31496062992125984" footer="0.31496062992125984"/>
  <pageSetup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Calificacion</vt:lpstr>
      <vt:lpstr>Detalle</vt:lpstr>
      <vt:lpstr>Detalle!Print_Area</vt:lpstr>
      <vt:lpstr>Detalle!Print_Titles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WILLIAM RICARDO AGUILAR PIÑA</cp:lastModifiedBy>
  <cp:lastPrinted>2024-08-11T16:39:02Z</cp:lastPrinted>
  <dcterms:created xsi:type="dcterms:W3CDTF">2018-11-28T14:19:17Z</dcterms:created>
  <dcterms:modified xsi:type="dcterms:W3CDTF">2025-08-05T14:58:42Z</dcterms:modified>
</cp:coreProperties>
</file>