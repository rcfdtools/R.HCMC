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/>
  <mc:AlternateContent xmlns:mc="http://schemas.openxmlformats.org/markup-compatibility/2006">
    <mc:Choice Requires="x15">
      <x15ac:absPath xmlns:x15ac="http://schemas.microsoft.com/office/spreadsheetml/2010/11/ac" url="D:\R.HCMC\file\temp\"/>
    </mc:Choice>
  </mc:AlternateContent>
  <xr:revisionPtr revIDLastSave="0" documentId="13_ncr:1_{A12E302D-41C9-4043-A4A6-58DF55A48E78}" xr6:coauthVersionLast="47" xr6:coauthVersionMax="47" xr10:uidLastSave="{00000000-0000-0000-0000-000000000000}"/>
  <bookViews>
    <workbookView xWindow="-98" yWindow="-98" windowWidth="28996" windowHeight="15675" xr2:uid="{49AECEC9-ED38-4895-A651-00856D20038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3" i="1"/>
  <c r="H4" i="1"/>
  <c r="H5" i="1"/>
  <c r="H6" i="1"/>
  <c r="H7" i="1"/>
  <c r="H9" i="1"/>
  <c r="H10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G3" i="1"/>
  <c r="F3" i="1"/>
</calcChain>
</file>

<file path=xl/sharedStrings.xml><?xml version="1.0" encoding="utf-8"?>
<sst xmlns="http://schemas.openxmlformats.org/spreadsheetml/2006/main" count="17" uniqueCount="17">
  <si>
    <t>Punto Estudio</t>
  </si>
  <si>
    <t>Área de drenaje (km²)</t>
  </si>
  <si>
    <t>Precipitación Media, mm</t>
  </si>
  <si>
    <t xml:space="preserve">Evaporación Media Real, mm </t>
  </si>
  <si>
    <t>Caudal Medio, m³/s</t>
  </si>
  <si>
    <t>Método de Tennant (Considerando el suelo como bueno) m³/s</t>
  </si>
  <si>
    <t>Q95                 (m³/s)</t>
  </si>
  <si>
    <t>Húmedo</t>
  </si>
  <si>
    <t>Seco</t>
  </si>
  <si>
    <t>J4685 - Inicio canal (Fa = 0.67)</t>
  </si>
  <si>
    <t>SINK-1 - Entrega canal artificial sin zona sur (Fa= 0.63)</t>
  </si>
  <si>
    <t>J4660 - Nodo descarga cauce lateral 1 (F=0.64)</t>
  </si>
  <si>
    <t>R19120 + W19690: Cuenca lateral 1 Fa independiente (Fa = 0.96)</t>
  </si>
  <si>
    <t xml:space="preserve">R19120 + W19690 - Cuenca Lateral l combinado con J4660 (Fa = 0.64) </t>
  </si>
  <si>
    <t>J4682 - Cuenca Lateral 2 (Fa = 0.63)</t>
  </si>
  <si>
    <t>W19610 - Cuenca Lateral 2 independiente (Fa = 1.0)</t>
  </si>
  <si>
    <t>W19610 - Cuenca Lateral 2 (Fa = 0.63)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</si>
</sst>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Segoe UI Light"/>
      <family val="2"/>
    </font>
    <font>
      <sz val="11"/>
      <color rgb="FF0070C0"/>
      <name val="Segoe UI Light"/>
      <family val="2"/>
    </font>
    <font>
      <sz val="1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DDA16-EDE2-41E4-904B-619F8D5ACB1F}">
  <dimension ref="A1:H10"/>
  <sheetViews>
    <sheetView tabSelected="1" workbookViewId="0">
      <selection activeCell="H9" sqref="H9"/>
    </sheetView>
  </sheetViews>
  <sheetFormatPr defaultColWidth="11.46484375" defaultRowHeight="14.25" x14ac:dyDescent="0.45"/>
  <sheetData>
    <row r="1" spans="1:8" ht="53.45" customHeight="1" x14ac:dyDescent="0.45">
      <c r="A1" s="13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/>
      <c r="H1" s="11" t="s">
        <v>6</v>
      </c>
    </row>
    <row r="2" spans="1:8" ht="15" customHeight="1" thickBot="1" x14ac:dyDescent="0.5">
      <c r="A2" s="14"/>
      <c r="B2" s="16"/>
      <c r="C2" s="16"/>
      <c r="D2" s="16"/>
      <c r="E2" s="16"/>
      <c r="F2" s="10" t="s">
        <v>7</v>
      </c>
      <c r="G2" s="10" t="s">
        <v>8</v>
      </c>
      <c r="H2" s="12"/>
    </row>
    <row r="3" spans="1:8" ht="49.5" x14ac:dyDescent="0.45">
      <c r="A3" s="5" t="s">
        <v>9</v>
      </c>
      <c r="B3" s="2">
        <v>185.21249</v>
      </c>
      <c r="C3" s="3">
        <v>1506.32</v>
      </c>
      <c r="D3" s="3">
        <v>1232.8399999999999</v>
      </c>
      <c r="E3" s="4">
        <v>1.61</v>
      </c>
      <c r="F3" s="4">
        <f>+E3*0.4</f>
        <v>0.64400000000000013</v>
      </c>
      <c r="G3" s="4">
        <f>+E3*0.2</f>
        <v>0.32200000000000006</v>
      </c>
      <c r="H3" s="6">
        <f>+_xlfn.PERCENTILE.INC($E$3, 0.05)</f>
        <v>1.61</v>
      </c>
    </row>
    <row r="4" spans="1:8" ht="99" x14ac:dyDescent="0.45">
      <c r="A4" s="5" t="s">
        <v>10</v>
      </c>
      <c r="B4" s="4">
        <v>247.05699999999999</v>
      </c>
      <c r="C4" s="3">
        <v>1507.83</v>
      </c>
      <c r="D4" s="3">
        <v>1243.49</v>
      </c>
      <c r="E4" s="4">
        <v>2.0699999999999998</v>
      </c>
      <c r="F4" s="4">
        <f t="shared" ref="F4:F10" si="0">+E4*0.4</f>
        <v>0.82799999999999996</v>
      </c>
      <c r="G4" s="4">
        <f t="shared" ref="G4:G10" si="1">+E4*0.2</f>
        <v>0.41399999999999998</v>
      </c>
      <c r="H4" s="6">
        <f t="shared" ref="H4:H10" si="2">+_xlfn.PERCENTILE.INC($E$3:$E$11, 0.05)</f>
        <v>0.11</v>
      </c>
    </row>
    <row r="5" spans="1:8" ht="82.5" x14ac:dyDescent="0.45">
      <c r="A5" s="5" t="s">
        <v>11</v>
      </c>
      <c r="B5" s="4">
        <v>225.358</v>
      </c>
      <c r="C5" s="3">
        <v>1508.48</v>
      </c>
      <c r="D5" s="3">
        <v>1240.1199999999999</v>
      </c>
      <c r="E5" s="4">
        <v>1.92</v>
      </c>
      <c r="F5" s="4">
        <f t="shared" si="0"/>
        <v>0.76800000000000002</v>
      </c>
      <c r="G5" s="4">
        <f t="shared" si="1"/>
        <v>0.38400000000000001</v>
      </c>
      <c r="H5" s="6">
        <f t="shared" si="2"/>
        <v>0.11</v>
      </c>
    </row>
    <row r="6" spans="1:8" ht="99" x14ac:dyDescent="0.45">
      <c r="A6" s="5" t="s">
        <v>12</v>
      </c>
      <c r="B6" s="4">
        <v>37.472000000000001</v>
      </c>
      <c r="C6" s="3">
        <v>1520.85</v>
      </c>
      <c r="D6" s="3">
        <v>1273.75</v>
      </c>
      <c r="E6" s="4">
        <v>0.28999999999999998</v>
      </c>
      <c r="F6" s="4">
        <f t="shared" si="0"/>
        <v>0.11599999999999999</v>
      </c>
      <c r="G6" s="4">
        <f t="shared" si="1"/>
        <v>5.7999999999999996E-2</v>
      </c>
      <c r="H6" s="6">
        <f t="shared" si="2"/>
        <v>0.11</v>
      </c>
    </row>
    <row r="7" spans="1:8" ht="115.5" x14ac:dyDescent="0.45">
      <c r="A7" s="5" t="s">
        <v>13</v>
      </c>
      <c r="B7" s="4">
        <v>37.472000000000001</v>
      </c>
      <c r="C7" s="3">
        <v>1520.85</v>
      </c>
      <c r="D7" s="3">
        <v>1273.75</v>
      </c>
      <c r="E7" s="4">
        <v>0.28999999999999998</v>
      </c>
      <c r="F7" s="4">
        <f t="shared" si="0"/>
        <v>0.11599999999999999</v>
      </c>
      <c r="G7" s="4">
        <f t="shared" si="1"/>
        <v>5.7999999999999996E-2</v>
      </c>
      <c r="H7" s="6">
        <f t="shared" si="2"/>
        <v>0.11</v>
      </c>
    </row>
    <row r="8" spans="1:8" ht="66" x14ac:dyDescent="0.45">
      <c r="A8" s="5" t="s">
        <v>14</v>
      </c>
      <c r="B8" s="4">
        <v>243.11500000000001</v>
      </c>
      <c r="C8" s="3">
        <v>1508.66136543323</v>
      </c>
      <c r="D8" s="3">
        <v>1243.210047</v>
      </c>
      <c r="E8" s="4">
        <v>2.0463555943779346</v>
      </c>
      <c r="F8" s="4">
        <f t="shared" si="0"/>
        <v>0.81854223775117385</v>
      </c>
      <c r="G8" s="4">
        <f t="shared" si="1"/>
        <v>0.40927111887558693</v>
      </c>
      <c r="H8" s="6">
        <f>+_xlfn.PERCENTILE.INC($E$3:$E$11, 0.05)</f>
        <v>0.11</v>
      </c>
    </row>
    <row r="9" spans="1:8" ht="82.5" x14ac:dyDescent="0.45">
      <c r="A9" s="5" t="s">
        <v>15</v>
      </c>
      <c r="B9" s="4">
        <v>15.195</v>
      </c>
      <c r="C9" s="3">
        <v>1518.35</v>
      </c>
      <c r="D9" s="3">
        <v>1285.81</v>
      </c>
      <c r="E9" s="4">
        <v>0.11</v>
      </c>
      <c r="F9" s="4">
        <f t="shared" si="0"/>
        <v>4.4000000000000004E-2</v>
      </c>
      <c r="G9" s="4">
        <f t="shared" si="1"/>
        <v>2.2000000000000002E-2</v>
      </c>
      <c r="H9" s="6">
        <f t="shared" si="2"/>
        <v>0.11</v>
      </c>
    </row>
    <row r="10" spans="1:8" ht="66.400000000000006" thickBot="1" x14ac:dyDescent="0.5">
      <c r="A10" s="7" t="s">
        <v>16</v>
      </c>
      <c r="B10" s="8">
        <v>15.195</v>
      </c>
      <c r="C10" s="9">
        <v>1518.35</v>
      </c>
      <c r="D10" s="9">
        <v>1285.81</v>
      </c>
      <c r="E10" s="8">
        <v>0.11</v>
      </c>
      <c r="F10" s="8">
        <f t="shared" si="0"/>
        <v>4.4000000000000004E-2</v>
      </c>
      <c r="G10" s="8">
        <f t="shared" si="1"/>
        <v>2.2000000000000002E-2</v>
      </c>
      <c r="H10" s="1">
        <f t="shared" si="2"/>
        <v>0.11</v>
      </c>
    </row>
  </sheetData>
  <mergeCells count="7">
    <mergeCell ref="H1:H2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AA52821070B2459208D5B6A02ECE52" ma:contentTypeVersion="3" ma:contentTypeDescription="Crear nuevo documento." ma:contentTypeScope="" ma:versionID="33c9ff0b7b59316aa513dbc9336d8f90">
  <xsd:schema xmlns:xsd="http://www.w3.org/2001/XMLSchema" xmlns:xs="http://www.w3.org/2001/XMLSchema" xmlns:p="http://schemas.microsoft.com/office/2006/metadata/properties" xmlns:ns2="832d4952-a9db-40d2-af4e-197f112077aa" targetNamespace="http://schemas.microsoft.com/office/2006/metadata/properties" ma:root="true" ma:fieldsID="b64a4bd980886119078f69595c0c70a7" ns2:_="">
    <xsd:import namespace="832d4952-a9db-40d2-af4e-197f112077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d4952-a9db-40d2-af4e-197f112077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44BA08-4E70-46D4-91B4-F77F8476BF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20DEE2-2541-4861-B818-8A1EC792E6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2d4952-a9db-40d2-af4e-197f112077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2228B7-6ED0-4205-AA5D-E12CDE0E69F9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832d4952-a9db-40d2-af4e-197f112077aa"/>
    <ds:schemaRef ds:uri="http://purl.org/dc/terms/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DAVID ATENCIA PEREZ</dc:creator>
  <cp:keywords/>
  <dc:description/>
  <cp:lastModifiedBy>WILLIAM RICARDO AGUILAR PIÑA</cp:lastModifiedBy>
  <cp:revision/>
  <dcterms:created xsi:type="dcterms:W3CDTF">2025-08-31T23:13:34Z</dcterms:created>
  <dcterms:modified xsi:type="dcterms:W3CDTF">2025-09-03T12:02:47Z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0x010100F2AA52821070B2459208D5B6A02ECE52</vt:lpwstr>
  </property>
</Properties>
</file>